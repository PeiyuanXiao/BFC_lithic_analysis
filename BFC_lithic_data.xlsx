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yuanx\Desktop\Bianfu_Cave_lithic_analysis\BFC_lithic_analysis\"/>
    </mc:Choice>
  </mc:AlternateContent>
  <xr:revisionPtr revIDLastSave="0" documentId="13_ncr:1_{BFB86BA6-76FA-452C-ACA6-A1F9B57264B4}" xr6:coauthVersionLast="47" xr6:coauthVersionMax="47" xr10:uidLastSave="{00000000-0000-0000-0000-000000000000}"/>
  <bookViews>
    <workbookView xWindow="-120" yWindow="-120" windowWidth="29040" windowHeight="15720" activeTab="3" xr2:uid="{13ADFA50-5ED3-4C75-A674-4AB884131A0C}"/>
  </bookViews>
  <sheets>
    <sheet name="Core" sheetId="1" r:id="rId1"/>
    <sheet name="Flake" sheetId="3" r:id="rId2"/>
    <sheet name="Tool" sheetId="4" r:id="rId3"/>
    <sheet name="Core fragment &amp; Chunk" sheetId="2" r:id="rId4"/>
    <sheet name="Note" sheetId="5" r:id="rId5"/>
  </sheets>
  <definedNames>
    <definedName name="_xlnm._FilterDatabase" localSheetId="0" hidden="1">Core!$A$1:$AJ$188</definedName>
    <definedName name="_xlnm._FilterDatabase" localSheetId="3" hidden="1">'Core fragment &amp; Chunk'!$A$1:$K$925</definedName>
    <definedName name="_xlnm._FilterDatabase" localSheetId="1" hidden="1">Flake!$A$1:$W$222</definedName>
    <definedName name="_xlnm._FilterDatabase" localSheetId="2" hidden="1">Tool!$A$1:$AR$35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 i="3" l="1"/>
  <c r="N4" i="3"/>
  <c r="N5" i="3"/>
  <c r="N6" i="3"/>
  <c r="N7" i="3"/>
  <c r="N8" i="3"/>
  <c r="N9" i="3"/>
  <c r="N10" i="3"/>
  <c r="N12" i="3"/>
  <c r="N13" i="3"/>
  <c r="N14" i="3"/>
  <c r="N15" i="3"/>
  <c r="N65" i="3"/>
  <c r="N66" i="3"/>
  <c r="N67" i="3"/>
  <c r="N68" i="3"/>
  <c r="N69" i="3"/>
  <c r="N70" i="3"/>
  <c r="N71" i="3"/>
  <c r="N16" i="3"/>
  <c r="N72" i="3"/>
  <c r="N17" i="3"/>
  <c r="N85" i="3"/>
  <c r="N86" i="3"/>
  <c r="N87" i="3"/>
  <c r="N92" i="3"/>
  <c r="N206" i="3"/>
  <c r="N143" i="3"/>
  <c r="N183" i="3"/>
  <c r="N48" i="3"/>
  <c r="N47" i="3"/>
  <c r="N45" i="3"/>
  <c r="N44" i="3"/>
  <c r="N182" i="3"/>
  <c r="N157" i="3"/>
  <c r="N137" i="3"/>
  <c r="N134" i="3"/>
  <c r="N79" i="3"/>
  <c r="N78" i="3"/>
  <c r="N201" i="3"/>
  <c r="N200" i="3"/>
  <c r="N178" i="3"/>
  <c r="N175" i="3"/>
  <c r="N133" i="3"/>
  <c r="N40" i="3"/>
  <c r="N39" i="3"/>
  <c r="N131" i="3"/>
  <c r="N90" i="3"/>
  <c r="N77" i="3"/>
  <c r="N36" i="3"/>
  <c r="N35" i="3"/>
  <c r="N34" i="3"/>
  <c r="N89" i="3"/>
  <c r="N88" i="3"/>
  <c r="N174" i="3"/>
  <c r="N173" i="3"/>
  <c r="N172" i="3"/>
  <c r="N128" i="3"/>
  <c r="N31" i="3"/>
  <c r="N30" i="3"/>
  <c r="N29" i="3"/>
  <c r="N27" i="3"/>
  <c r="N26" i="3"/>
  <c r="N25" i="3"/>
  <c r="N24" i="3"/>
  <c r="N211" i="3"/>
  <c r="N197" i="3"/>
  <c r="N196" i="3"/>
  <c r="N195" i="3"/>
  <c r="N171" i="3"/>
  <c r="N170" i="3"/>
  <c r="N168" i="3"/>
  <c r="N166" i="3"/>
  <c r="N127" i="3"/>
  <c r="N126" i="3"/>
  <c r="N125" i="3"/>
  <c r="N124" i="3"/>
  <c r="N123" i="3"/>
  <c r="N122" i="3"/>
  <c r="N121" i="3"/>
  <c r="N119" i="3"/>
  <c r="N118" i="3"/>
  <c r="N116" i="3"/>
  <c r="N115" i="3"/>
  <c r="N114" i="3"/>
  <c r="N113" i="3"/>
  <c r="N84" i="3"/>
  <c r="N76" i="3"/>
  <c r="N75" i="3"/>
  <c r="N74" i="3"/>
  <c r="N73" i="3"/>
  <c r="N23" i="3"/>
  <c r="N210" i="3"/>
  <c r="N209" i="3"/>
  <c r="N208" i="3"/>
  <c r="N207" i="3"/>
  <c r="N194" i="3"/>
  <c r="N193" i="3"/>
  <c r="N192" i="3"/>
  <c r="N191" i="3"/>
  <c r="N190" i="3"/>
  <c r="N22" i="3"/>
  <c r="N165" i="3"/>
  <c r="N164" i="3"/>
  <c r="N163" i="3"/>
  <c r="N162" i="3"/>
  <c r="N159" i="3"/>
  <c r="N158" i="3"/>
  <c r="N155" i="3"/>
  <c r="N153" i="3"/>
  <c r="N152" i="3"/>
  <c r="N112" i="3"/>
  <c r="N111" i="3"/>
  <c r="N110" i="3"/>
  <c r="N109" i="3"/>
  <c r="N108" i="3"/>
  <c r="N107" i="3"/>
  <c r="N106" i="3"/>
  <c r="N105" i="3"/>
  <c r="N104" i="3"/>
  <c r="N103" i="3"/>
  <c r="N21" i="3"/>
  <c r="N102" i="3"/>
  <c r="N101" i="3"/>
  <c r="N100" i="3"/>
  <c r="N99" i="3"/>
  <c r="N98" i="3"/>
  <c r="N19" i="3"/>
  <c r="N18" i="3"/>
  <c r="N97" i="3"/>
  <c r="N96" i="3"/>
  <c r="N95" i="3"/>
  <c r="N94" i="3"/>
  <c r="N93" i="3"/>
  <c r="N2" i="3"/>
  <c r="O2" i="3"/>
  <c r="AP2" i="4"/>
  <c r="AP3" i="4"/>
  <c r="AP29" i="4"/>
  <c r="AP4" i="4"/>
  <c r="AP15" i="4"/>
  <c r="AP33" i="4"/>
  <c r="AP17" i="4"/>
  <c r="AP23" i="4"/>
  <c r="AP5" i="4"/>
  <c r="AP18" i="4"/>
  <c r="AP19" i="4"/>
  <c r="AP6" i="4"/>
  <c r="AP24" i="4"/>
  <c r="AP7" i="4"/>
  <c r="AP34" i="4"/>
  <c r="AP20" i="4"/>
  <c r="AP21" i="4"/>
  <c r="AP8" i="4"/>
  <c r="AP30" i="4"/>
  <c r="AP22" i="4"/>
  <c r="AP25" i="4"/>
  <c r="AP31" i="4"/>
  <c r="AP9" i="4"/>
  <c r="AP10" i="4"/>
  <c r="AP11" i="4"/>
  <c r="AP12" i="4"/>
  <c r="AP26" i="4"/>
  <c r="AP27" i="4"/>
  <c r="AP13" i="4"/>
  <c r="AP16" i="4"/>
  <c r="AR2" i="4"/>
  <c r="AR3" i="4"/>
  <c r="AR29" i="4"/>
  <c r="AR4" i="4"/>
  <c r="AR15" i="4"/>
  <c r="AR33" i="4"/>
  <c r="AR17" i="4"/>
  <c r="AR23" i="4"/>
  <c r="AR5" i="4"/>
  <c r="AR18" i="4"/>
  <c r="AR19" i="4"/>
  <c r="AR6" i="4"/>
  <c r="AR24" i="4"/>
  <c r="AR7" i="4"/>
  <c r="AR34" i="4"/>
  <c r="AR20" i="4"/>
  <c r="AR21" i="4"/>
  <c r="AR8" i="4"/>
  <c r="AR30" i="4"/>
  <c r="AR22" i="4"/>
  <c r="AR25" i="4"/>
  <c r="AR31" i="4"/>
  <c r="AR9" i="4"/>
  <c r="AR10" i="4"/>
  <c r="AR11" i="4"/>
  <c r="AR12" i="4"/>
  <c r="AR26" i="4"/>
  <c r="AR27" i="4"/>
  <c r="AR13" i="4"/>
  <c r="AR16" i="4"/>
  <c r="O206" i="3"/>
  <c r="O143" i="3"/>
  <c r="AA13" i="4"/>
  <c r="AQ13" i="4" s="1"/>
  <c r="Z13" i="4"/>
  <c r="Y13" i="4"/>
  <c r="O183" i="3"/>
  <c r="O48" i="3"/>
  <c r="O47" i="3"/>
  <c r="O45" i="3"/>
  <c r="O44" i="3"/>
  <c r="O182" i="3"/>
  <c r="O157" i="3"/>
  <c r="O137" i="3"/>
  <c r="O134" i="3"/>
  <c r="O79" i="3"/>
  <c r="O78" i="3"/>
  <c r="O201" i="3"/>
  <c r="O200" i="3"/>
  <c r="O178" i="3"/>
  <c r="O175" i="3"/>
  <c r="O133" i="3"/>
  <c r="O40" i="3"/>
  <c r="O39" i="3"/>
  <c r="O131" i="3"/>
  <c r="O90" i="3"/>
  <c r="O77" i="3"/>
  <c r="O36" i="3"/>
  <c r="O35" i="3"/>
  <c r="O34" i="3"/>
  <c r="O89" i="3"/>
  <c r="O88" i="3"/>
  <c r="O174" i="3"/>
  <c r="O173" i="3"/>
  <c r="O172" i="3"/>
  <c r="O128" i="3"/>
  <c r="O31" i="3"/>
  <c r="O30" i="3"/>
  <c r="O29" i="3"/>
  <c r="O27" i="3"/>
  <c r="O26" i="3"/>
  <c r="O25" i="3"/>
  <c r="O24" i="3"/>
  <c r="O211" i="3"/>
  <c r="O197" i="3"/>
  <c r="O196" i="3"/>
  <c r="O195" i="3"/>
  <c r="O171" i="3"/>
  <c r="O170" i="3"/>
  <c r="O168" i="3"/>
  <c r="O166" i="3"/>
  <c r="O127" i="3"/>
  <c r="O126" i="3"/>
  <c r="O125" i="3"/>
  <c r="O124" i="3"/>
  <c r="O123" i="3"/>
  <c r="O122" i="3"/>
  <c r="O121" i="3"/>
  <c r="O119" i="3"/>
  <c r="O118" i="3"/>
  <c r="O116" i="3"/>
  <c r="O115" i="3"/>
  <c r="O114" i="3"/>
  <c r="O113" i="3"/>
  <c r="O84" i="3"/>
  <c r="O76" i="3"/>
  <c r="O75" i="3"/>
  <c r="O74" i="3"/>
  <c r="O73" i="3"/>
  <c r="O23" i="3"/>
  <c r="O210" i="3"/>
  <c r="O209" i="3"/>
  <c r="O208" i="3"/>
  <c r="O207" i="3"/>
  <c r="O194" i="3"/>
  <c r="O193" i="3"/>
  <c r="O192" i="3"/>
  <c r="O191" i="3"/>
  <c r="O190" i="3"/>
  <c r="O22" i="3"/>
  <c r="O165" i="3"/>
  <c r="O164" i="3"/>
  <c r="O163" i="3"/>
  <c r="O162" i="3"/>
  <c r="O159" i="3"/>
  <c r="O158" i="3"/>
  <c r="O155" i="3"/>
  <c r="O153" i="3"/>
  <c r="O152" i="3"/>
  <c r="O112" i="3"/>
  <c r="O111" i="3"/>
  <c r="O110" i="3"/>
  <c r="O109" i="3"/>
  <c r="O108" i="3"/>
  <c r="O107" i="3"/>
  <c r="O106" i="3"/>
  <c r="O105" i="3"/>
  <c r="O104" i="3"/>
  <c r="O103" i="3"/>
  <c r="O21" i="3"/>
  <c r="O102" i="3"/>
  <c r="O101" i="3"/>
  <c r="O100" i="3"/>
  <c r="O99" i="3"/>
  <c r="O98" i="3"/>
  <c r="O19" i="3"/>
  <c r="O18" i="3"/>
  <c r="O97" i="3"/>
  <c r="O96" i="3"/>
  <c r="O95" i="3"/>
  <c r="O94" i="3"/>
  <c r="O93" i="3"/>
  <c r="O92" i="3"/>
  <c r="O87" i="3"/>
  <c r="O86" i="3"/>
  <c r="O85" i="3"/>
  <c r="O17" i="3"/>
  <c r="O72" i="3"/>
  <c r="O16" i="3"/>
  <c r="O71" i="3"/>
  <c r="O70" i="3"/>
  <c r="O69" i="3"/>
  <c r="O68" i="3"/>
  <c r="O67" i="3"/>
  <c r="O66" i="3"/>
  <c r="O65" i="3"/>
  <c r="O15" i="3"/>
  <c r="O14" i="3"/>
  <c r="O13" i="3"/>
  <c r="O12" i="3"/>
  <c r="O10" i="3"/>
  <c r="O9" i="3"/>
  <c r="O8" i="3"/>
  <c r="O7" i="3"/>
  <c r="O6" i="3"/>
  <c r="O5" i="3"/>
  <c r="O4" i="3"/>
  <c r="O3" i="3"/>
  <c r="AM23" i="4"/>
  <c r="AN23" i="4"/>
  <c r="AO23" i="4"/>
  <c r="AO2" i="4"/>
  <c r="AN2" i="4"/>
  <c r="AM2" i="4"/>
  <c r="AA27" i="4"/>
  <c r="AQ27" i="4" s="1"/>
  <c r="Z27" i="4"/>
  <c r="Y27" i="4"/>
  <c r="Y2" i="4"/>
  <c r="Z2" i="4"/>
  <c r="AA2" i="4"/>
  <c r="Y3" i="4"/>
  <c r="Z3" i="4"/>
  <c r="AA3" i="4"/>
  <c r="AQ3" i="4" s="1"/>
  <c r="Y29" i="4"/>
  <c r="Z29" i="4"/>
  <c r="AA29" i="4"/>
  <c r="AQ29" i="4" s="1"/>
  <c r="Y4" i="4"/>
  <c r="Z4" i="4"/>
  <c r="AA4" i="4"/>
  <c r="AQ4" i="4" s="1"/>
  <c r="Y15" i="4"/>
  <c r="Z15" i="4"/>
  <c r="AA15" i="4"/>
  <c r="AQ15" i="4" s="1"/>
  <c r="Y33" i="4"/>
  <c r="Z33" i="4"/>
  <c r="AA33" i="4"/>
  <c r="AQ33" i="4" s="1"/>
  <c r="Y23" i="4"/>
  <c r="Z23" i="4"/>
  <c r="AA23" i="4"/>
  <c r="Y5" i="4"/>
  <c r="Z5" i="4"/>
  <c r="AA5" i="4"/>
  <c r="AQ5" i="4" s="1"/>
  <c r="Y18" i="4"/>
  <c r="Z18" i="4"/>
  <c r="AA18" i="4"/>
  <c r="AQ18" i="4" s="1"/>
  <c r="Y19" i="4"/>
  <c r="Z19" i="4"/>
  <c r="AA19" i="4"/>
  <c r="AQ19" i="4" s="1"/>
  <c r="Y6" i="4"/>
  <c r="Z6" i="4"/>
  <c r="AA6" i="4"/>
  <c r="AQ6" i="4" s="1"/>
  <c r="Y24" i="4"/>
  <c r="Z24" i="4"/>
  <c r="AA24" i="4"/>
  <c r="AQ24" i="4" s="1"/>
  <c r="Y7" i="4"/>
  <c r="Z7" i="4"/>
  <c r="AA7" i="4"/>
  <c r="AQ7" i="4" s="1"/>
  <c r="Y34" i="4"/>
  <c r="Z34" i="4"/>
  <c r="AA34" i="4"/>
  <c r="AQ34" i="4" s="1"/>
  <c r="Y20" i="4"/>
  <c r="Z20" i="4"/>
  <c r="AA20" i="4"/>
  <c r="AQ20" i="4" s="1"/>
  <c r="Y21" i="4"/>
  <c r="Z21" i="4"/>
  <c r="AA21" i="4"/>
  <c r="AQ21" i="4" s="1"/>
  <c r="Y8" i="4"/>
  <c r="Z8" i="4"/>
  <c r="AA8" i="4"/>
  <c r="AQ8" i="4" s="1"/>
  <c r="Y30" i="4"/>
  <c r="Z30" i="4"/>
  <c r="AA30" i="4"/>
  <c r="AQ30" i="4" s="1"/>
  <c r="Y22" i="4"/>
  <c r="Z22" i="4"/>
  <c r="AA22" i="4"/>
  <c r="AQ22" i="4" s="1"/>
  <c r="Y25" i="4"/>
  <c r="Z25" i="4"/>
  <c r="AA25" i="4"/>
  <c r="AQ25" i="4" s="1"/>
  <c r="Y31" i="4"/>
  <c r="Z31" i="4"/>
  <c r="AA31" i="4"/>
  <c r="AQ31" i="4" s="1"/>
  <c r="Y9" i="4"/>
  <c r="Z9" i="4"/>
  <c r="AA9" i="4"/>
  <c r="AQ9" i="4" s="1"/>
  <c r="Y10" i="4"/>
  <c r="Z10" i="4"/>
  <c r="AA10" i="4"/>
  <c r="AQ10" i="4" s="1"/>
  <c r="Y11" i="4"/>
  <c r="Z11" i="4"/>
  <c r="AA11" i="4"/>
  <c r="AQ11" i="4" s="1"/>
  <c r="Y12" i="4"/>
  <c r="Z12" i="4"/>
  <c r="AA12" i="4"/>
  <c r="AQ12" i="4" s="1"/>
  <c r="Y26" i="4"/>
  <c r="Z26" i="4"/>
  <c r="AA26" i="4"/>
  <c r="AQ26" i="4" s="1"/>
  <c r="AA16" i="4"/>
  <c r="AQ16" i="4" s="1"/>
  <c r="Z16" i="4"/>
  <c r="Y16" i="4"/>
  <c r="AQ23" i="4" l="1"/>
  <c r="AQ2" i="4"/>
</calcChain>
</file>

<file path=xl/sharedStrings.xml><?xml version="1.0" encoding="utf-8"?>
<sst xmlns="http://schemas.openxmlformats.org/spreadsheetml/2006/main" count="10669" uniqueCount="1586">
  <si>
    <t>No.</t>
    <phoneticPr fontId="3" type="noConversion"/>
  </si>
  <si>
    <t>Layer</t>
    <phoneticPr fontId="3" type="noConversion"/>
  </si>
  <si>
    <t>Level</t>
    <phoneticPr fontId="3" type="noConversion"/>
  </si>
  <si>
    <t>Raw_material</t>
    <phoneticPr fontId="3" type="noConversion"/>
  </si>
  <si>
    <t>Blank</t>
  </si>
  <si>
    <t>Techno_type</t>
    <phoneticPr fontId="3" type="noConversion"/>
  </si>
  <si>
    <t>Weather_degree</t>
    <phoneticPr fontId="3" type="noConversion"/>
  </si>
  <si>
    <t>Type</t>
    <phoneticPr fontId="3" type="noConversion"/>
  </si>
  <si>
    <t>Cortex</t>
    <phoneticPr fontId="3" type="noConversion"/>
  </si>
  <si>
    <t>Length</t>
    <phoneticPr fontId="3" type="noConversion"/>
  </si>
  <si>
    <t>Width</t>
    <phoneticPr fontId="3" type="noConversion"/>
  </si>
  <si>
    <t>Thickness</t>
    <phoneticPr fontId="3" type="noConversion"/>
  </si>
  <si>
    <t>Mass</t>
    <phoneticPr fontId="3" type="noConversion"/>
  </si>
  <si>
    <t>Facial</t>
    <phoneticPr fontId="3" type="noConversion"/>
  </si>
  <si>
    <t>Facial_relation</t>
    <phoneticPr fontId="3" type="noConversion"/>
  </si>
  <si>
    <t>Butt_type</t>
    <phoneticPr fontId="3" type="noConversion"/>
  </si>
  <si>
    <t>Butt_depth</t>
    <phoneticPr fontId="3" type="noConversion"/>
  </si>
  <si>
    <t>Butt_width</t>
    <phoneticPr fontId="3" type="noConversion"/>
  </si>
  <si>
    <t>Techno_organization</t>
    <phoneticPr fontId="3" type="noConversion"/>
  </si>
  <si>
    <t>Techno_typology</t>
    <phoneticPr fontId="3" type="noConversion"/>
  </si>
  <si>
    <t>Facial_type_1</t>
    <phoneticPr fontId="2" type="noConversion"/>
  </si>
  <si>
    <t>Axial_1</t>
    <phoneticPr fontId="2" type="noConversion"/>
  </si>
  <si>
    <t>Polarity_1</t>
    <phoneticPr fontId="3" type="noConversion"/>
  </si>
  <si>
    <t>Facial_type_2</t>
    <phoneticPr fontId="2" type="noConversion"/>
  </si>
  <si>
    <t>Axial_2</t>
    <phoneticPr fontId="2" type="noConversion"/>
  </si>
  <si>
    <t>Polarity_2</t>
    <phoneticPr fontId="3" type="noConversion"/>
  </si>
  <si>
    <t>Facial_type_3</t>
    <phoneticPr fontId="2" type="noConversion"/>
  </si>
  <si>
    <t>Axial_3</t>
    <phoneticPr fontId="2" type="noConversion"/>
  </si>
  <si>
    <t>Polarity_3</t>
    <phoneticPr fontId="3" type="noConversion"/>
  </si>
  <si>
    <t>Facial_type_4</t>
    <phoneticPr fontId="2" type="noConversion"/>
  </si>
  <si>
    <t>Axial_4</t>
    <phoneticPr fontId="2" type="noConversion"/>
  </si>
  <si>
    <t>Polarity_4</t>
    <phoneticPr fontId="3" type="noConversion"/>
  </si>
  <si>
    <t>Butt</t>
    <phoneticPr fontId="3" type="noConversion"/>
  </si>
  <si>
    <t>Butt_relation</t>
    <phoneticPr fontId="3" type="noConversion"/>
  </si>
  <si>
    <t>Flaking_angle</t>
    <phoneticPr fontId="2" type="noConversion"/>
  </si>
  <si>
    <t>N_scar_1</t>
    <phoneticPr fontId="2" type="noConversion"/>
  </si>
  <si>
    <t>N_scar_2</t>
    <phoneticPr fontId="2" type="noConversion"/>
  </si>
  <si>
    <t>N_scar_3</t>
    <phoneticPr fontId="2" type="noConversion"/>
  </si>
  <si>
    <t>N_scar_4</t>
    <phoneticPr fontId="2" type="noConversion"/>
  </si>
  <si>
    <t>19YHBT2-3-L2:6</t>
  </si>
  <si>
    <t>19YHBT2-3-L2:7</t>
  </si>
  <si>
    <t>19YHBT2-3-L2:14</t>
  </si>
  <si>
    <t>19YHBT2-3-L2:15</t>
  </si>
  <si>
    <t>19YHBT2-3-L2:20</t>
  </si>
  <si>
    <t>19YHBT2-3-L2:23</t>
  </si>
  <si>
    <t>19YHBT2-3-L2:32</t>
  </si>
  <si>
    <t>19YHBT2-3-L2:33</t>
  </si>
  <si>
    <t>19YHBT2-3-L2:35</t>
  </si>
  <si>
    <t>19YHBT2-3-L2:37</t>
  </si>
  <si>
    <t>19YHBT2-3-L2:38</t>
  </si>
  <si>
    <t>19YHBT2-3-L2:50</t>
  </si>
  <si>
    <t>19YHBT2-3-L2:53</t>
  </si>
  <si>
    <t>19YHBT2-3-L2:60</t>
  </si>
  <si>
    <t>19YHBT2-3-L2:63</t>
  </si>
  <si>
    <t>19YHBT2-3-L2:65</t>
  </si>
  <si>
    <t>19YHBT2-3-L2:86</t>
  </si>
  <si>
    <t>19YHBT2-4-L1:95</t>
  </si>
  <si>
    <t>19YHBT2-4-L1:101</t>
  </si>
  <si>
    <t>19YHBT2-4-L1:105</t>
  </si>
  <si>
    <t>19YHBT2-4-L1:107</t>
  </si>
  <si>
    <t>19YHBT2-4-L1:109</t>
  </si>
  <si>
    <t>19YHBT2-6-L1:141</t>
  </si>
  <si>
    <t>19YHBT2-6-L1:148</t>
  </si>
  <si>
    <t>19YHBT2-6-L1:150</t>
  </si>
  <si>
    <t>19YHBT2-7-L1:165</t>
  </si>
  <si>
    <t>19YHBT2-7-L1:167</t>
  </si>
  <si>
    <t>19YHBT2-7-L1:168</t>
  </si>
  <si>
    <t>19YHBT2-7-L1:191</t>
  </si>
  <si>
    <t>19YHBT2-7-L1:203</t>
  </si>
  <si>
    <t>19YHBT2-7-L2:230</t>
  </si>
  <si>
    <t>19YHBT2-7-L2:241</t>
  </si>
  <si>
    <t>19YHBT2-7-L2:244</t>
  </si>
  <si>
    <t>19YHBT2-7-L2:246</t>
  </si>
  <si>
    <t>19YHBT2-3-L2:255</t>
  </si>
  <si>
    <t>19YHBT2-7-L2:259</t>
  </si>
  <si>
    <t>19YHBT2-7-L2:260</t>
  </si>
  <si>
    <t>19YHBT2-7-L2:324</t>
  </si>
  <si>
    <t>19YHBT2-8-L1:325</t>
  </si>
  <si>
    <t>19YHBT2-8-L1:327</t>
  </si>
  <si>
    <t>19YHBT2-9-L1:364</t>
  </si>
  <si>
    <t>19YHBT2-9-L1:367</t>
  </si>
  <si>
    <t>19YHBT2-9-L1:373</t>
  </si>
  <si>
    <t>19YHBT2-9-L1:375</t>
  </si>
  <si>
    <t>19YHBT2-9-L1:376</t>
  </si>
  <si>
    <t>19YHBT2-9-L1:385</t>
  </si>
  <si>
    <t>19YHBT2-9-L1:388</t>
  </si>
  <si>
    <t>19YHBT2-9-L1:389</t>
  </si>
  <si>
    <t>19YHBT2-9-L1:397</t>
  </si>
  <si>
    <t>19YHBT2-9-L1:401</t>
  </si>
  <si>
    <t>19YHBT2-9-L1:402</t>
  </si>
  <si>
    <t>19YHBT2-9-L2:437</t>
  </si>
  <si>
    <t>19YHBT2-9-L2:442</t>
  </si>
  <si>
    <t>19YHBT2-9-L2:443</t>
  </si>
  <si>
    <t>19YHBT2-9-L2:444</t>
  </si>
  <si>
    <t>19YHBT2-9-L2:446</t>
  </si>
  <si>
    <t>19YHBT2-9-L2:451</t>
  </si>
  <si>
    <t>19YHBT2-9-L2:454</t>
  </si>
  <si>
    <t>19YHBT2-9-L2:455</t>
  </si>
  <si>
    <t>19YHBT2-9-L2:456</t>
  </si>
  <si>
    <t>19YHBT2-9-L2:460</t>
  </si>
  <si>
    <t>19YHBT2-9-L2:463</t>
  </si>
  <si>
    <t>19YHBT2-9-L2:465</t>
  </si>
  <si>
    <t>19YHBT2-9-L2:467</t>
  </si>
  <si>
    <t>19YHBT2-9-L2:468</t>
  </si>
  <si>
    <t>19YHBT2-9-L2:469</t>
  </si>
  <si>
    <t>19YHBT2-9-L2:470</t>
  </si>
  <si>
    <t>19YHBT2-9-L2:473</t>
  </si>
  <si>
    <t>19YHBT2-9-L2:476</t>
  </si>
  <si>
    <t>19YHBT2-9-L2:478</t>
  </si>
  <si>
    <t>19YHBT2-9-L2:480</t>
  </si>
  <si>
    <t>19YHBT2-9-L2:481</t>
  </si>
  <si>
    <t>19YHBT2-9-L2:488</t>
  </si>
  <si>
    <t>19YHBT2-9-L2:490</t>
  </si>
  <si>
    <t>19YHBT2-9-L2:503</t>
  </si>
  <si>
    <t>19YHBT2-9-L2:507</t>
  </si>
  <si>
    <t>19YHBT2-9-L2:509</t>
  </si>
  <si>
    <t>19YHBT2-9-L2:510</t>
  </si>
  <si>
    <t>19YHBT2-9-L2:517</t>
  </si>
  <si>
    <t>19YHBT2-9-L2:519</t>
  </si>
  <si>
    <t>19YHBT2-9-L2:523</t>
  </si>
  <si>
    <t>19YHBT2-9-L2:524</t>
  </si>
  <si>
    <t>19YHBT2-10-L1:619</t>
  </si>
  <si>
    <t>19YHBT2-10-L1:625</t>
  </si>
  <si>
    <t>19YHBT2-10-L1:627</t>
  </si>
  <si>
    <t>19YHBT2-10-L1:628</t>
  </si>
  <si>
    <t>19YHBT2-10-L1:631</t>
  </si>
  <si>
    <t>19YHBT2-10-L1:635</t>
  </si>
  <si>
    <t>19YHBT2-11-L1:670</t>
  </si>
  <si>
    <t>19YHBT2-11-L1:673</t>
  </si>
  <si>
    <t>19YHBT2-11-L1:674</t>
  </si>
  <si>
    <t>19YHBT2-11-L1:677</t>
  </si>
  <si>
    <t>19YHBT2-11-L1:678</t>
  </si>
  <si>
    <t>19YHBT2-11-L1:680</t>
  </si>
  <si>
    <t>19YHBT2-11-L1:687</t>
  </si>
  <si>
    <t>19YHBT2-11-L1:689</t>
  </si>
  <si>
    <t>19YHBT2-11-L1:690</t>
  </si>
  <si>
    <t>19YHBT2-11-L1:702</t>
  </si>
  <si>
    <t>19YHBT2-11-L1:712</t>
  </si>
  <si>
    <t>19YHBT2-11-L2:757</t>
  </si>
  <si>
    <t>19YHBT2-11-L2:758</t>
  </si>
  <si>
    <t>19YHBT2-11-L2:765</t>
  </si>
  <si>
    <t>19YHBT2-11-L2:766</t>
  </si>
  <si>
    <t>19YHBT2-11-L2:769</t>
  </si>
  <si>
    <t>19YHBT2-11-L2:772</t>
  </si>
  <si>
    <t>19YHBT2-11-L2:785</t>
  </si>
  <si>
    <t>19YHBT2-3-L2:787</t>
  </si>
  <si>
    <t>19YHBT2-11-L2:797</t>
  </si>
  <si>
    <t>19YHBT2-11-L2:806</t>
  </si>
  <si>
    <t>19YHBT2-11-L2:817</t>
  </si>
  <si>
    <t>19YHBT2-11-L2:819</t>
  </si>
  <si>
    <t>19YHBT2-11-L2:822</t>
  </si>
  <si>
    <t>19YHBT2-11-L2:823</t>
  </si>
  <si>
    <t>19YHBT2-12-L1:882</t>
  </si>
  <si>
    <t>19YHBT2-12-L1:886</t>
  </si>
  <si>
    <t>19YHBT2-12-L1:887</t>
  </si>
  <si>
    <t>19YHBT2-12-L1:898</t>
  </si>
  <si>
    <t>19YHBT2-12-L1:908</t>
  </si>
  <si>
    <t>19YHBT2-12-L1:910</t>
  </si>
  <si>
    <t>19YHBT2-12-L1:916</t>
  </si>
  <si>
    <t>19YHBT2-12-L1:919</t>
  </si>
  <si>
    <t>19YHBT2-12-L1:920</t>
  </si>
  <si>
    <t>19YHBT2-12-L1:922</t>
  </si>
  <si>
    <t>19YHBT2-12-L1:926</t>
  </si>
  <si>
    <t>19YHBT2-12-L1:932</t>
  </si>
  <si>
    <t>19YHBT2-12-L1:938</t>
  </si>
  <si>
    <t>19YHBT2-12-L1:940</t>
  </si>
  <si>
    <t>19YHBT2-12-L3:1062</t>
  </si>
  <si>
    <t>19YHBT2-12-L3:1071</t>
  </si>
  <si>
    <t>19YHBT2-12-L3:1075</t>
  </si>
  <si>
    <t>19YHBT2-12-L3:1107</t>
  </si>
  <si>
    <t>19YHBT2-12-L3:1108</t>
  </si>
  <si>
    <t>19YHBT2-12-L3:1110</t>
  </si>
  <si>
    <t>19YHBT2-4-L1:1195</t>
  </si>
  <si>
    <t>19YHBT2-3-L2:1189</t>
  </si>
  <si>
    <t>19YHBT2-3-L2:1190</t>
  </si>
  <si>
    <t>19YHBT2-4-L1:1196</t>
  </si>
  <si>
    <t>19YHBT2-7-L1:1216</t>
  </si>
  <si>
    <t>19YHBT2-7-L2:1217</t>
  </si>
  <si>
    <t>19YHBT2-7-L2:1221</t>
  </si>
  <si>
    <t>19YHBT2-7-L2:1223</t>
  </si>
  <si>
    <t>19YHBT2-7-L3:1244</t>
  </si>
  <si>
    <t>19YHBT2-4-L2:1245</t>
  </si>
  <si>
    <t>19YHBT2-7-L3:1246</t>
  </si>
  <si>
    <t>19YHBT2-7-L3:1247</t>
  </si>
  <si>
    <t>19YHBT2-7-L3:1248</t>
  </si>
  <si>
    <t>19YHBT2-7-L3:1253</t>
  </si>
  <si>
    <t>19YHBT2-7-L3:1254</t>
  </si>
  <si>
    <t>19YHBT2-7-L3:1263</t>
  </si>
  <si>
    <t>19YHBT2-7-L3:1265</t>
  </si>
  <si>
    <t>19YHBT2-8-L1:1270</t>
  </si>
  <si>
    <t>19YHBT2-9-L1:1272</t>
  </si>
  <si>
    <t>19YHBT2-9-L1:1273</t>
  </si>
  <si>
    <t>19YHBT2-9-L1:1274</t>
  </si>
  <si>
    <t>19YHBT2-9-L1:1278</t>
  </si>
  <si>
    <t>19YHBT2-9-L1:1288</t>
  </si>
  <si>
    <t>19YHBT2-9-L2:1290</t>
  </si>
  <si>
    <t>19YHBT2-9-L2:1291</t>
  </si>
  <si>
    <t>19YHBT2-9-L2:1295</t>
  </si>
  <si>
    <t>19YHBT2-9-L2:1296</t>
  </si>
  <si>
    <t>19YHBT2-9-L2:1303</t>
  </si>
  <si>
    <t>19YHBT2-9-L2:1304</t>
  </si>
  <si>
    <t>19YHBT2-9-L2:1306</t>
  </si>
  <si>
    <t>19YHBT2-9-L2:1309</t>
  </si>
  <si>
    <t>19YHBT2-9-L2:1315</t>
  </si>
  <si>
    <t>19YHBT2-9-L2:1316</t>
  </si>
  <si>
    <t>19YHBT2-9-L2:1317</t>
  </si>
  <si>
    <t>19YHBT2-9-L2:1321</t>
  </si>
  <si>
    <t>19YHBT2-10-L1:1324</t>
  </si>
  <si>
    <t>19YHBT2-10-L1:1325</t>
  </si>
  <si>
    <t>19YHBT2-10-L1:1326</t>
  </si>
  <si>
    <t>19YHBT2-11-L1:1327</t>
  </si>
  <si>
    <t>19YHBT2-11-L2:1331</t>
  </si>
  <si>
    <t>19YHBT2-11-L2:1336</t>
  </si>
  <si>
    <t>19YHBT2-11-L2:1339</t>
  </si>
  <si>
    <t>19YHBT2-11-L2:1341</t>
  </si>
  <si>
    <t>19YHBT2-11-L2:1342</t>
  </si>
  <si>
    <t>19YHBT2-9-L2:1348</t>
  </si>
  <si>
    <t>19YHBT2-12-L1:1350</t>
  </si>
  <si>
    <t>19YHBT2-9-L2:1355</t>
  </si>
  <si>
    <t>19YHBT2-11-L1:1356</t>
  </si>
  <si>
    <t>19YHBT2-3-L2:3076</t>
  </si>
  <si>
    <t>19YHBT2-3-L2:3081</t>
  </si>
  <si>
    <t>19YHBT2-3-L2:3088</t>
  </si>
  <si>
    <t>19YHBT2-3-L2:3105</t>
  </si>
  <si>
    <t>19YHBT2-3-L2:3107</t>
  </si>
  <si>
    <t>19YHBT2-3-L2:3108</t>
  </si>
  <si>
    <t>19YHBT2-7-L2:3117</t>
  </si>
  <si>
    <t>19YHBT2-9-L2:3133</t>
  </si>
  <si>
    <t>19YHBT2-9-L2:3142</t>
  </si>
  <si>
    <t>19YHBT2-9-L2:3144</t>
  </si>
  <si>
    <t>19YHBT2-9-L2:3151</t>
  </si>
  <si>
    <t>19YHBT2-9-L2:3152</t>
  </si>
  <si>
    <t>19YHBT2-9-L2:3158</t>
  </si>
  <si>
    <t>19YHBT2-9-L2:3164</t>
  </si>
  <si>
    <t>19YHBT2-9-L2:3170</t>
  </si>
  <si>
    <t>19YHBT2-9-L2:3173</t>
  </si>
  <si>
    <t>3-L2</t>
  </si>
  <si>
    <t>4-L1</t>
  </si>
  <si>
    <t>6-L1</t>
  </si>
  <si>
    <t>7-L1</t>
  </si>
  <si>
    <t>7-L2</t>
  </si>
  <si>
    <t>8-L1</t>
  </si>
  <si>
    <t>9-L1</t>
  </si>
  <si>
    <t>9-L2</t>
  </si>
  <si>
    <t>10-L1</t>
  </si>
  <si>
    <t>11-L1</t>
  </si>
  <si>
    <t>11-L2</t>
  </si>
  <si>
    <t>12-L1</t>
  </si>
  <si>
    <t>12-L3</t>
  </si>
  <si>
    <t>7-L3</t>
  </si>
  <si>
    <t>4-L2</t>
  </si>
  <si>
    <t>Mudstone</t>
  </si>
  <si>
    <t>Andesite</t>
  </si>
  <si>
    <t>Trachyte</t>
  </si>
  <si>
    <t>Sandstone</t>
  </si>
  <si>
    <t>Granite</t>
  </si>
  <si>
    <t xml:space="preserve">Granite      </t>
  </si>
  <si>
    <t>Sandstone</t>
    <phoneticPr fontId="2" type="noConversion"/>
  </si>
  <si>
    <t>Limestone</t>
  </si>
  <si>
    <t>Andesite</t>
    <phoneticPr fontId="2" type="noConversion"/>
  </si>
  <si>
    <t>Unweathered</t>
  </si>
  <si>
    <t>Slightly</t>
  </si>
  <si>
    <t>Moderately</t>
  </si>
  <si>
    <t>Highly</t>
  </si>
  <si>
    <t>Core</t>
    <phoneticPr fontId="2" type="noConversion"/>
  </si>
  <si>
    <t>Unifacial</t>
  </si>
  <si>
    <t>Double</t>
  </si>
  <si>
    <t>Single</t>
  </si>
  <si>
    <t>Narrow</t>
  </si>
  <si>
    <t>Long</t>
  </si>
  <si>
    <t>Unidirection</t>
  </si>
  <si>
    <t>19YHBT2-9-L2:461</t>
    <phoneticPr fontId="2" type="noConversion"/>
  </si>
  <si>
    <t>Short</t>
  </si>
  <si>
    <t>19YHBT2-12-L3:1088</t>
    <phoneticPr fontId="2" type="noConversion"/>
  </si>
  <si>
    <t>Bifacial</t>
  </si>
  <si>
    <t>Peripheral</t>
  </si>
  <si>
    <t>19YHBT2-9-L1:379</t>
    <phoneticPr fontId="2" type="noConversion"/>
  </si>
  <si>
    <t>19YHBT2-9-L1:378</t>
  </si>
  <si>
    <t>Opposite_bidirection</t>
  </si>
  <si>
    <t>Adjacent</t>
  </si>
  <si>
    <t>19YHBT2-9-L2:1292</t>
  </si>
  <si>
    <t>19YHBT2-9-L2:1347</t>
  </si>
  <si>
    <t>Opposite</t>
  </si>
  <si>
    <t>19YHBT2-7-L2:247</t>
  </si>
  <si>
    <t>19YHBT2-9-L2:3163</t>
  </si>
  <si>
    <t>19YHBT2-9-L2:528</t>
  </si>
  <si>
    <t>19YHBT2-12-L1:953</t>
  </si>
  <si>
    <t>Chunk</t>
    <phoneticPr fontId="2" type="noConversion"/>
  </si>
  <si>
    <t>19YHBT2-3-L2:4</t>
  </si>
  <si>
    <t>19YHBT2-3-L2:11</t>
  </si>
  <si>
    <t>19YHBT2-3-L2:16</t>
  </si>
  <si>
    <t>19YHBT2-3-L2:17</t>
  </si>
  <si>
    <t>19YHBT2-3-L2:21</t>
  </si>
  <si>
    <t>19YHBT2-3-L2:22</t>
  </si>
  <si>
    <t>19YHBT2-3-L2:24</t>
  </si>
  <si>
    <t>19YHBT2-3-L2:25</t>
  </si>
  <si>
    <t>19YHBT2-3-L2:41</t>
  </si>
  <si>
    <t>19YHBT2-3-L2:43</t>
  </si>
  <si>
    <t>19YHBT2-3-L2:45</t>
  </si>
  <si>
    <t>19YHBT2-3-L2:47</t>
  </si>
  <si>
    <t>19YHBT2-3-L2:52</t>
  </si>
  <si>
    <t>19YHBT2-3-L2:61</t>
  </si>
  <si>
    <t>19YHBT2-3-L2:62</t>
  </si>
  <si>
    <t>19YHBT2-3-L2:64</t>
  </si>
  <si>
    <t>19YHBT2-4-L1:90</t>
  </si>
  <si>
    <t>19YHBT2-4-L1:91</t>
  </si>
  <si>
    <t>19YHBT2-4-L1:93</t>
  </si>
  <si>
    <t>19YHBT2-4-L1:97</t>
  </si>
  <si>
    <t>19YHBT2-4-L1:98</t>
  </si>
  <si>
    <t>19YHBT2-4-L1:99</t>
  </si>
  <si>
    <t>19YHBT2-4-L1:102</t>
  </si>
  <si>
    <t>19YHBT2-4-L1:104</t>
  </si>
  <si>
    <t>19YHBT2-4-L1:106</t>
  </si>
  <si>
    <t>19YHBT2-4-L1:111</t>
  </si>
  <si>
    <t>19YHBT2-4-L2:136</t>
  </si>
  <si>
    <t>19YHBT2-4-L2:137</t>
  </si>
  <si>
    <t>19YHBT2-6-L1:139</t>
  </si>
  <si>
    <t>19YHBT2-3-L2:140</t>
  </si>
  <si>
    <t>19YHBT2-6-L1:142</t>
  </si>
  <si>
    <t>19YHBT2-3-L2:144</t>
  </si>
  <si>
    <t>19YHBT2-6-L1:145</t>
  </si>
  <si>
    <t>19YHBT2-3-L2:149</t>
  </si>
  <si>
    <t>19YHBT2-6-L1:152</t>
  </si>
  <si>
    <t>19YHBT2-6-L1:156</t>
  </si>
  <si>
    <t>19YHBT2-7-L1:162</t>
  </si>
  <si>
    <t>19YHBT2-7-L1:169</t>
  </si>
  <si>
    <t>19YHBT2-7-L1:170</t>
  </si>
  <si>
    <t>19YHBT2-7-L1:177</t>
  </si>
  <si>
    <t>19YHBT2-3-L2:185</t>
  </si>
  <si>
    <t>19YHBT2-7-L1:186</t>
  </si>
  <si>
    <t>19YHBT2-7-L1:187</t>
  </si>
  <si>
    <t>19YHBT2-3-L2:190</t>
  </si>
  <si>
    <t>19YHBT2-7-L1:192</t>
  </si>
  <si>
    <t>19YHBT2-7-L1:197</t>
  </si>
  <si>
    <t>19YHBT2-3-L2:198</t>
  </si>
  <si>
    <t>19YHBT2-7-L1:200</t>
  </si>
  <si>
    <t>19YHBT2-7-L1:202</t>
  </si>
  <si>
    <t>19YHBT2-7-L2:222</t>
  </si>
  <si>
    <t>19YHBT2-7-L2:223</t>
  </si>
  <si>
    <t>19YHBT2-7-L2:224</t>
  </si>
  <si>
    <t>19YHBT2-7-L2:225</t>
  </si>
  <si>
    <t>19YHBT2-7-L2:226</t>
  </si>
  <si>
    <t>19YHBT2-7-L2:227</t>
  </si>
  <si>
    <t>19YHBT2-7-L2:228</t>
  </si>
  <si>
    <t>19YHBT2-7-L2:229</t>
  </si>
  <si>
    <t>19YHBT2-7-L2:231</t>
  </si>
  <si>
    <t>19YHBT2-7-L2:233</t>
  </si>
  <si>
    <t>19YHBT2-7-L2:235</t>
  </si>
  <si>
    <t>19YHBT2-7-L2:239</t>
  </si>
  <si>
    <t>19YHBT2-7-L2:240</t>
  </si>
  <si>
    <t>19YHBT2-7-L2:242</t>
  </si>
  <si>
    <t>19YHBT2-7-L2:252</t>
  </si>
  <si>
    <t>19YHBT2-7-L2:253</t>
  </si>
  <si>
    <t>19YHBT2-7-L2:257</t>
  </si>
  <si>
    <t>19YHBT2-7-L2:261</t>
  </si>
  <si>
    <t>19YHBT2-7-L2:262</t>
  </si>
  <si>
    <t>19YHBT2-7-L2:266</t>
  </si>
  <si>
    <t>19YHBT2-7-L2:267</t>
  </si>
  <si>
    <t>19YHBT2-7-L2:269</t>
  </si>
  <si>
    <t>19YHBT2-7-L2:270</t>
  </si>
  <si>
    <t>19YHBT2-7-L2:271</t>
  </si>
  <si>
    <t>19YHBT2-7-L2:272</t>
  </si>
  <si>
    <t>19YHBT2-7-L2:273</t>
  </si>
  <si>
    <t>19YHBT2-7-L2:274</t>
  </si>
  <si>
    <t>19YHBT2-7-L2:275</t>
  </si>
  <si>
    <t>19YHBT2-7-L2:279</t>
  </si>
  <si>
    <t>19YHBT2-7-L2:280</t>
  </si>
  <si>
    <t>19YHBT2-7-L2:282</t>
  </si>
  <si>
    <t>19YHBT2-8-L1:330</t>
  </si>
  <si>
    <t>19YHBT2-8-L1:335</t>
  </si>
  <si>
    <t>19YHBT2-8-L1:336</t>
  </si>
  <si>
    <t>19YHBT2-9-L1:369</t>
  </si>
  <si>
    <t>19YHBT2-9-L1:370</t>
  </si>
  <si>
    <t>19YHBT2-9-L1:371</t>
  </si>
  <si>
    <t>19YHBT2-9-L1:372</t>
  </si>
  <si>
    <t>19YHBT2-9-L1:383</t>
  </si>
  <si>
    <t>19YHBT2-9-L1:384</t>
  </si>
  <si>
    <t>19YHBT2-9-L1:387</t>
  </si>
  <si>
    <t>19YHBT2-9-L1:391</t>
  </si>
  <si>
    <t>19YHBT2-9-L1:395</t>
  </si>
  <si>
    <t>19YHBT2-9-L1:396</t>
  </si>
  <si>
    <t>19YHBT2-9-L1:399</t>
  </si>
  <si>
    <t>19YHBT2-9-L1:404</t>
  </si>
  <si>
    <t>19YHBT2-9-L1:405</t>
  </si>
  <si>
    <t>19YHBT2-9-L2:434</t>
  </si>
  <si>
    <t>19YHBT2-9-L2:435</t>
  </si>
  <si>
    <t>19YHBT2-9-L2:440</t>
  </si>
  <si>
    <t>19YHBT2-9-L2:447</t>
  </si>
  <si>
    <t>19YHBT2-9-L2:449</t>
  </si>
  <si>
    <t>19YHBT2-9-L2:450</t>
  </si>
  <si>
    <t>19YHBT2-9-L2:452</t>
  </si>
  <si>
    <t>19YHBT2-9-L2:458</t>
  </si>
  <si>
    <t>19YHBT2-9-L2:462</t>
  </si>
  <si>
    <t>19YHBT2-9-L2:466</t>
  </si>
  <si>
    <t>19YHBT2-9-L2:471</t>
  </si>
  <si>
    <t>19YHBT2-9-L2:475</t>
  </si>
  <si>
    <t>19YHBT2-9-L2:479</t>
  </si>
  <si>
    <t>19YHBT2-9-L2:483</t>
  </si>
  <si>
    <t>19YHBT2-9-L2:485</t>
  </si>
  <si>
    <t>19YHBT2-9-L2:486</t>
  </si>
  <si>
    <t>19YHBT2-9-L2:487</t>
  </si>
  <si>
    <t>19YHBT2-9-L2:489</t>
  </si>
  <si>
    <t>19YHBT2-9-L2:491</t>
  </si>
  <si>
    <t>19YHBT2-9-L2:492</t>
  </si>
  <si>
    <t>19YHBT2-9-L2:493</t>
  </si>
  <si>
    <t>19YHBT2-9-L2:495</t>
  </si>
  <si>
    <t>19YHBT2-9-L2:496</t>
  </si>
  <si>
    <t>19YHBT2-9-L2:497</t>
  </si>
  <si>
    <t>19YHBT2-9-L2:499</t>
  </si>
  <si>
    <t>19YHBT2-9-L2:501</t>
  </si>
  <si>
    <t>19YHBT2-9-L2:502</t>
  </si>
  <si>
    <t>19YHBT2-9-L2:504</t>
  </si>
  <si>
    <t>19YHBT2-9-L2:505</t>
  </si>
  <si>
    <t>19YHBT2-9-L2:508</t>
  </si>
  <si>
    <t>19YHBT2-9-L2:515</t>
  </si>
  <si>
    <t>19YHBT2-9-L2:516</t>
  </si>
  <si>
    <t>19YHBT2-9-L2:518</t>
  </si>
  <si>
    <t>19YHBT2-9-L2:520</t>
  </si>
  <si>
    <t>19YHBT2-9-L2:526</t>
  </si>
  <si>
    <t>19YHBT2-9-L2:527</t>
  </si>
  <si>
    <t>19YHBT2-9-L2:529</t>
  </si>
  <si>
    <t>19YHBT2-10-L1:620</t>
  </si>
  <si>
    <t>19YHBT2-10-L1:623</t>
  </si>
  <si>
    <t>19YHBT2-10-L1:624</t>
  </si>
  <si>
    <t>19YHBT2-10-L1:626</t>
  </si>
  <si>
    <t>19YHBT2-10-L1:630</t>
  </si>
  <si>
    <t>19YHBT2-10-L1:632</t>
  </si>
  <si>
    <t>19YHBT2-10-L1:633</t>
  </si>
  <si>
    <t>19YHBT2-10-L1:634</t>
  </si>
  <si>
    <t>19YHBT2-11-L1:666</t>
  </si>
  <si>
    <t>19YHBT2-11-L1:667</t>
  </si>
  <si>
    <t>19YHBT2-11-L1:668</t>
  </si>
  <si>
    <t>19YHBT2-11-L1:669</t>
  </si>
  <si>
    <t>19YHBT2-11-L1:671</t>
  </si>
  <si>
    <t>19YHBT2-11-L1:672</t>
  </si>
  <si>
    <t>19YHBT2-11-L1:675</t>
  </si>
  <si>
    <t>19YHBT2-11-L1:676</t>
  </si>
  <si>
    <t>19YHBT2-11-L1:681</t>
  </si>
  <si>
    <t>19YHBT2-11-L1:682</t>
  </si>
  <si>
    <t>19YHBT2-11-L1:683</t>
  </si>
  <si>
    <t>19YHBT2-11-L1:684</t>
  </si>
  <si>
    <t>19YHBT2-11-L1:685</t>
  </si>
  <si>
    <t>19YHBT2-11-L1:686</t>
  </si>
  <si>
    <t>19YHBT2-11-L1:688</t>
  </si>
  <si>
    <t>19YHBT2-11-L1:691</t>
  </si>
  <si>
    <t>19YHBT2-3-L2:692</t>
  </si>
  <si>
    <t>19YHBT2-11-L1:693</t>
  </si>
  <si>
    <t>19YHBT2-11-L1:694</t>
  </si>
  <si>
    <t>19YHBT2-11-L1:695</t>
  </si>
  <si>
    <t>19YHBT2-11-L1:697</t>
  </si>
  <si>
    <t>19YHBT2-11-L1:698</t>
  </si>
  <si>
    <t>19YHBT2-11-L1:699</t>
  </si>
  <si>
    <t>19YHBT2-11-L1:700</t>
  </si>
  <si>
    <t>19YHBT2-11-L1:701</t>
  </si>
  <si>
    <t>19YHBT2-11-L1:703</t>
  </si>
  <si>
    <t>19YHBT2-11-L1:704</t>
  </si>
  <si>
    <t>19YHBT2-11-L1:706</t>
  </si>
  <si>
    <t>19YHBT2-11-L1:707</t>
  </si>
  <si>
    <t>19YHBT2-11-L1:708</t>
  </si>
  <si>
    <t>19YHBT2-11-L1:710</t>
  </si>
  <si>
    <t>19YHBT2-11-L1:711</t>
  </si>
  <si>
    <t>19YHBT2-11-L1:713</t>
  </si>
  <si>
    <t>19YHBT2-11-L1:716</t>
  </si>
  <si>
    <t>19YHBT2-11-L2:759</t>
  </si>
  <si>
    <t>19YHBT2-3-L2:760</t>
  </si>
  <si>
    <t>19YHBT2-11-L2:761</t>
  </si>
  <si>
    <t>19YHBT2-11-L2:762</t>
  </si>
  <si>
    <t>19YHBT2-11-L2:763</t>
  </si>
  <si>
    <t>19YHBT2-11-L2:767</t>
  </si>
  <si>
    <t>19YHBT2-11-L2:770</t>
  </si>
  <si>
    <t>19YHBT2-11-L2:771</t>
  </si>
  <si>
    <t>19YHBT2-11-L2:773</t>
  </si>
  <si>
    <t>19YHBT2-11-L2:775</t>
  </si>
  <si>
    <t>19YHBT2-11-L2:776</t>
  </si>
  <si>
    <t>19YHBT2-11-L2:777</t>
  </si>
  <si>
    <t>19YHBT2-11-L2:778</t>
  </si>
  <si>
    <t>19YHBT2-11-L2:779</t>
  </si>
  <si>
    <t>19YHBT2-11-L2:780</t>
  </si>
  <si>
    <t>19YHBT2-11-L2:781</t>
  </si>
  <si>
    <t>19YHBT2-3-L2:782</t>
  </si>
  <si>
    <t>19YHBT2-11-L2:783</t>
  </si>
  <si>
    <t>19YHBT2-11-L2:784</t>
  </si>
  <si>
    <t>19YHBT2-11-L2:786</t>
  </si>
  <si>
    <t>19YHBT2-11-L2:788</t>
  </si>
  <si>
    <t>19YHBT2-11-L2:789</t>
  </si>
  <si>
    <t>19YHBT2-11-L2:792</t>
  </si>
  <si>
    <t>19YHBT2-11-L2:793</t>
  </si>
  <si>
    <t>19YHBT2-11-L2:795</t>
  </si>
  <si>
    <t>19YHBT2-11-L2:798</t>
  </si>
  <si>
    <t>19YHBT2-11-L2:801</t>
  </si>
  <si>
    <t>19YHBT2-11-L2:802</t>
  </si>
  <si>
    <t>19YHBT2-11-L2:803</t>
  </si>
  <si>
    <t>19YHBT2-11-L2:804</t>
  </si>
  <si>
    <t>19YHBT2-11-L2:805</t>
  </si>
  <si>
    <t>19YHBT2-11-L2:807</t>
  </si>
  <si>
    <t>19YHBT2-11-L2:808</t>
  </si>
  <si>
    <t>19YHBT2-11-L2:809</t>
  </si>
  <si>
    <t>19YHBT2-11-L2:810</t>
  </si>
  <si>
    <t>19YHBT2-11-L2:811</t>
  </si>
  <si>
    <t>19YHBT2-11-L2:812</t>
  </si>
  <si>
    <t>19YHBT2-11-L2:813</t>
  </si>
  <si>
    <t>19YHBT2-11-L2:816</t>
  </si>
  <si>
    <t>19YHBT2-11-L2:818</t>
  </si>
  <si>
    <t>19YHBT2-11-L2:820</t>
  </si>
  <si>
    <t>19YHBT2-11-L2:821</t>
  </si>
  <si>
    <t>19YHBT2-11-L2:824</t>
  </si>
  <si>
    <t>19YHBT2-11-L2:825</t>
  </si>
  <si>
    <t>19YHBT2-12-L1:883</t>
  </si>
  <si>
    <t>19YHBT2-12-L1:885</t>
  </si>
  <si>
    <t>19YHBT2-12-L1:888</t>
  </si>
  <si>
    <t>19YHBT2-3-L2:889</t>
  </si>
  <si>
    <t>19YHBT2-12-L1:890</t>
  </si>
  <si>
    <t>19YHBT2-12-L1:894</t>
  </si>
  <si>
    <t>19YHBT2-12-L1:895</t>
  </si>
  <si>
    <t>19YHBT2-12-L1:897</t>
  </si>
  <si>
    <t>19YHBT2-12-L1:899</t>
  </si>
  <si>
    <t>19YHBT2-12-L1:901</t>
  </si>
  <si>
    <t>19YHBT2-12-L1:902</t>
  </si>
  <si>
    <t>19YHBT2-12-L1:903</t>
  </si>
  <si>
    <t>19YHBT2-12-L1:904</t>
  </si>
  <si>
    <t>19YHBT2-12-L1:909</t>
  </si>
  <si>
    <t>19YHBT2-12-L1:911</t>
  </si>
  <si>
    <t>19YHBT2-12-L1:912</t>
  </si>
  <si>
    <t>19YHBT2-12-L1:913</t>
  </si>
  <si>
    <t>19YHBT2-12-L1:914</t>
  </si>
  <si>
    <t>19YHBT2-3-L2:915</t>
  </si>
  <si>
    <t>19YHBT2-12-L1:917</t>
  </si>
  <si>
    <t>19YHBT2-12-L1:918</t>
  </si>
  <si>
    <t>19YHBT2-12-L1:923</t>
  </si>
  <si>
    <t>19YHBT2-12-L1:924</t>
  </si>
  <si>
    <t>19YHBT2-12-L1:927</t>
  </si>
  <si>
    <t>19YHBT2-12-L1:928</t>
  </si>
  <si>
    <t>19YHBT2-12-L1:929</t>
  </si>
  <si>
    <t>19YHBT2-12-L1:930</t>
  </si>
  <si>
    <t>19YHBT2-3-L2:933</t>
  </si>
  <si>
    <t>19YHBT2-12-L1:934</t>
  </si>
  <si>
    <t>19YHBT2-12-L1:935</t>
  </si>
  <si>
    <t>19YHBT2-12-L1:936</t>
  </si>
  <si>
    <t>19YHBT2-12-L1:939</t>
  </si>
  <si>
    <t>19YHBT2-12-L1:942</t>
  </si>
  <si>
    <t>19YHBT2-12-L1:943</t>
  </si>
  <si>
    <t>19YHBT2-12-L1:944</t>
  </si>
  <si>
    <t>19YHBT2-12-L1:946</t>
  </si>
  <si>
    <t>19YHBT2-12-L1:947</t>
  </si>
  <si>
    <t>19YHBT2-12-L1:948</t>
  </si>
  <si>
    <t>19YHBT2-12-L1:949</t>
  </si>
  <si>
    <t>19YHBT2-12-L1:950</t>
  </si>
  <si>
    <t>19YHBT2-12-L1:951</t>
  </si>
  <si>
    <t>19YHBT2-12-L1:952</t>
  </si>
  <si>
    <t>19YHBT2-12-L1:954</t>
  </si>
  <si>
    <t>19YHBT2-12-L3:1063</t>
  </si>
  <si>
    <t>19YHBT2-12-L3:1064</t>
  </si>
  <si>
    <t>19YHBT2-12-L3:1065</t>
  </si>
  <si>
    <t>19YHBT2-12-L3:1067</t>
  </si>
  <si>
    <t>19YHBT2-12-L3:1068</t>
  </si>
  <si>
    <t>19YHBT2-12-L3:1069</t>
  </si>
  <si>
    <t>19YHBT2-12-L3:1070</t>
  </si>
  <si>
    <t>19YHBT2-12-L3:1072</t>
  </si>
  <si>
    <t>19YHBT2-3-L2:1074</t>
  </si>
  <si>
    <t>19YHBT2-12-L3:1076</t>
  </si>
  <si>
    <t>19YHBT2-12-L3:1077</t>
  </si>
  <si>
    <t>19YHBT2-12-L3:1078</t>
  </si>
  <si>
    <t>19YHBT2-12-L3:1080</t>
  </si>
  <si>
    <t>19YHBT2-12-L3:1081</t>
  </si>
  <si>
    <t>19YHBT2-12-L3:1082</t>
  </si>
  <si>
    <t>19YHBT2-12-L3:1083</t>
  </si>
  <si>
    <t>19YHBT2-12-L3:1084</t>
  </si>
  <si>
    <t>19YHBT2-12-L3:1085</t>
  </si>
  <si>
    <t>19YHBT2-12-L3:1087</t>
  </si>
  <si>
    <t>19YHBT2-12-L3:1091</t>
  </si>
  <si>
    <t>19YHBT2-12-L3:1092</t>
  </si>
  <si>
    <t>19YHBT2-12-L3:1093</t>
  </si>
  <si>
    <t>19YHBT2-12-L3:1094</t>
  </si>
  <si>
    <t>19YHBT2-12-L3:1095</t>
  </si>
  <si>
    <t>19YHBT2-12-L3:1096</t>
  </si>
  <si>
    <t>19YHBT2-12-L3:1097</t>
  </si>
  <si>
    <t>19YHBT2-12-L3:1098</t>
  </si>
  <si>
    <t>19YHBT2-3-L2:1099</t>
  </si>
  <si>
    <t>19YHBT2-12-L3:1100</t>
  </si>
  <si>
    <t>19YHBT2-12-L3:1102</t>
  </si>
  <si>
    <t>19YHBT2-12-L3:1103</t>
  </si>
  <si>
    <t>19YHBT2-12-L3:1104</t>
  </si>
  <si>
    <t>19YHBT2-12-L3:1105</t>
  </si>
  <si>
    <t>19YHBT2-12-L3:1106</t>
  </si>
  <si>
    <t>19YHBT2-12-L3:1109</t>
  </si>
  <si>
    <t>19YHBT2-12-L3:1178</t>
  </si>
  <si>
    <t>19YHBT2-12-L3:1179</t>
  </si>
  <si>
    <t>19YHBT2-12-L3:1180</t>
  </si>
  <si>
    <t>19YHBT2-3-L2:1187</t>
  </si>
  <si>
    <t>19YHBT2-3-L2:1188</t>
  </si>
  <si>
    <t>19YHBT2-3-L2:1194</t>
  </si>
  <si>
    <t>19YHBT2-4-L1:1201</t>
  </si>
  <si>
    <t>19YHBT2-4-L2:1205</t>
  </si>
  <si>
    <t>19YHBT2-5-L1:1208</t>
  </si>
  <si>
    <t>19YHBT2-7-L1:1210</t>
  </si>
  <si>
    <t>19YHBT2-7-L1:1211</t>
  </si>
  <si>
    <t>19YHBT2-7-L1:1213</t>
  </si>
  <si>
    <t>19YHBT2-7-L1:1215</t>
  </si>
  <si>
    <t>19YHBT2-7-L2:1218</t>
  </si>
  <si>
    <t>19YHBT2-7-L2:1220</t>
  </si>
  <si>
    <t>19YHBT2-7-L2:1222</t>
  </si>
  <si>
    <t>19YHBT2-7-L2:1226</t>
  </si>
  <si>
    <t>19YHBT2-7-L2:1227</t>
  </si>
  <si>
    <t>19YHBT2-7-L2:1228</t>
  </si>
  <si>
    <t>19YHBT2-7-L2:1229</t>
  </si>
  <si>
    <t>19YHBT2-7-L2:1230</t>
  </si>
  <si>
    <t>19YHBT2-7-L2:1232</t>
  </si>
  <si>
    <t>19YHBT2-7-L2:1236</t>
  </si>
  <si>
    <t>19YHBT2-7-L2:1237</t>
  </si>
  <si>
    <t>19YHBT2-7-L2:1238</t>
  </si>
  <si>
    <t>19YHBT2-7-L3:1258</t>
  </si>
  <si>
    <t>19YHBT2-7-L3:1261</t>
  </si>
  <si>
    <t>19YHBT2-7-L3:1268</t>
  </si>
  <si>
    <t>19YHBT2-7-L3:1269</t>
  </si>
  <si>
    <t>19YHBT2-9-L1:1276</t>
  </si>
  <si>
    <t>19YHBT2-9-L1:1280</t>
  </si>
  <si>
    <t>19YHBT2-9-L1:1281</t>
  </si>
  <si>
    <t>19YHBT2-9-L1:1282</t>
  </si>
  <si>
    <t>19YHBT2-9-L1:1286</t>
  </si>
  <si>
    <t>19YHBT2-9-L1:1287</t>
  </si>
  <si>
    <t>19YHBT2-9-L2:1293</t>
  </si>
  <si>
    <t>19YHBT2-9-L2:1298</t>
  </si>
  <si>
    <t>19YHBT2-9-L2:1297</t>
  </si>
  <si>
    <t>19YHBT2-9-L2:1299</t>
  </si>
  <si>
    <t>19YHBT2-9-L2:1301</t>
  </si>
  <si>
    <t>19YHBT2-9-L2:1302</t>
  </si>
  <si>
    <t>19YHBT2-9-L2:1305</t>
  </si>
  <si>
    <t>19YHBT2-9-L2:1307</t>
  </si>
  <si>
    <t>19YHBT2-9-L2:1313</t>
  </si>
  <si>
    <t>19YHBT2-9-L2:1314</t>
  </si>
  <si>
    <t>19YHBT2-9-L2:1318</t>
  </si>
  <si>
    <t>19YHBT2-9-L2:1320</t>
  </si>
  <si>
    <t>19YHBT2-10-L1:1322</t>
  </si>
  <si>
    <t>19YHBT2-10-L1:1323</t>
  </si>
  <si>
    <t>19YHBT2-11-L1:1329</t>
  </si>
  <si>
    <t>19YHBT2-11-L2:1330</t>
  </si>
  <si>
    <t>19YHBT2-11-L2:1334</t>
  </si>
  <si>
    <t>19YHBT2-11-L2:1338</t>
  </si>
  <si>
    <t>19YHBT2-12-L1:1344</t>
  </si>
  <si>
    <t>19YHBT2-12-L1:1349</t>
  </si>
  <si>
    <t>19YHBT2-12-L2:1354</t>
  </si>
  <si>
    <t>19YHBT2-3-L2:3072</t>
  </si>
  <si>
    <t>19YHBT2-3-L2:3077</t>
  </si>
  <si>
    <t>19YHBT2-3-L2:3078</t>
  </si>
  <si>
    <t>19YHBT2-3-L2:3087</t>
  </si>
  <si>
    <t>19YHBT2-3-L2:3090</t>
  </si>
  <si>
    <t>19YHBT2-3-L2:3091</t>
  </si>
  <si>
    <t>19YHBT2-3-L2:3092</t>
  </si>
  <si>
    <t>19YHBT2-3-L2:3094</t>
  </si>
  <si>
    <t>19YHBT2-3-L2:3095</t>
  </si>
  <si>
    <t>19YHBT2-3-L2:3099</t>
  </si>
  <si>
    <t>19YHBT2-3-L2:3100</t>
  </si>
  <si>
    <t>19YHBT2-3-L2:3101</t>
  </si>
  <si>
    <t>19YHBT2-7-L1:3102</t>
  </si>
  <si>
    <t>19YHBT2-7-L2:3111</t>
  </si>
  <si>
    <t>19YHBT2-7-L2:3112</t>
  </si>
  <si>
    <t>19YHBT2-7-L2:3113</t>
  </si>
  <si>
    <t>19YHBT2-7-L2:3115</t>
  </si>
  <si>
    <t>19YHBT2-7-L2:3119</t>
  </si>
  <si>
    <t>19YHBT2-7-L2:3120</t>
  </si>
  <si>
    <t>19YHBT2-7-L2:3121</t>
  </si>
  <si>
    <t>19YHBT2-7-L2:3122</t>
  </si>
  <si>
    <t>19YHBT2-7-L2:3123</t>
  </si>
  <si>
    <t>19YHBT2-7-L2:3125</t>
  </si>
  <si>
    <t>19YHBT2-7-L2:3127</t>
  </si>
  <si>
    <t>19YHBT2-7-L2:3128</t>
  </si>
  <si>
    <t>19YHBT2-7-L3:3130</t>
  </si>
  <si>
    <t>19YHBT2-7-L3:3131</t>
  </si>
  <si>
    <t>19YHBT2-9-L2:3136</t>
  </si>
  <si>
    <t>19YHBT2-9-L2:3137</t>
  </si>
  <si>
    <t>19YHBT2-9-L2:3138</t>
  </si>
  <si>
    <t>19YHBT2-9-L2:3139</t>
  </si>
  <si>
    <t>19YHBT2-9-L2:3140</t>
  </si>
  <si>
    <t>19YHBT2-9-L2:3141</t>
  </si>
  <si>
    <t>19YHBT2-9-L2:3146</t>
  </si>
  <si>
    <t>19YHBT2-9-L2:3148</t>
  </si>
  <si>
    <t>19YHBT2-9-L2:3149</t>
  </si>
  <si>
    <t>19YHBT2-9-L2:3150</t>
  </si>
  <si>
    <t>19YHBT2-9-L2:3153</t>
  </si>
  <si>
    <t>19YHBT2-9-L2:3154</t>
  </si>
  <si>
    <t>19YHBT2-9-L2:3156</t>
  </si>
  <si>
    <t>19YHBT2-9-L2:3157</t>
  </si>
  <si>
    <t>19YHBT2-9-L2:3159</t>
  </si>
  <si>
    <t>19YHBT2-9-L2:3160</t>
  </si>
  <si>
    <t>19YHBT2-9-L2:3161</t>
  </si>
  <si>
    <t>19YHBT2-9-L2:3162</t>
  </si>
  <si>
    <t>19YHBT2-9-L2:3166</t>
  </si>
  <si>
    <t>19YHBT2-9-L2:3167</t>
  </si>
  <si>
    <t>19YHBT2-9-L2:3169</t>
  </si>
  <si>
    <t>19YHBT2-9-L2:3171</t>
  </si>
  <si>
    <t>19YHBT2-9-L2:3174</t>
  </si>
  <si>
    <t>19YHBT2-9-L2:3175</t>
  </si>
  <si>
    <t>19YHBT2-9-L2:3177</t>
  </si>
  <si>
    <t>12-L2</t>
  </si>
  <si>
    <t>5-L1</t>
  </si>
  <si>
    <t>Core_fragment</t>
    <phoneticPr fontId="2" type="noConversion"/>
  </si>
  <si>
    <t>19YHBT2-7-L2:250</t>
  </si>
  <si>
    <t>19YHBT2-8-L1:329</t>
  </si>
  <si>
    <t>Trifacial</t>
  </si>
  <si>
    <t>Mixed</t>
  </si>
  <si>
    <t>Triple</t>
  </si>
  <si>
    <t>Wide</t>
  </si>
  <si>
    <t>19YHBT2-9-L2:498</t>
  </si>
  <si>
    <t>19YHBT2-12-L1:900</t>
  </si>
  <si>
    <t>19YHBT2-12-L1:931</t>
  </si>
  <si>
    <t>19YHBT2-11-L2:756</t>
  </si>
  <si>
    <t>19YHBT2-9-L2:1319</t>
  </si>
  <si>
    <t>Limestone</t>
    <phoneticPr fontId="2" type="noConversion"/>
  </si>
  <si>
    <t>Highly</t>
    <phoneticPr fontId="2" type="noConversion"/>
  </si>
  <si>
    <t>Orthogonal_bidirection</t>
  </si>
  <si>
    <t>Multiple</t>
  </si>
  <si>
    <t>19YHBT2-10-L1:621</t>
  </si>
  <si>
    <t>19YHBT2-11-L1:754</t>
  </si>
  <si>
    <t>Elongation</t>
    <phoneticPr fontId="3" type="noConversion"/>
  </si>
  <si>
    <t>Fineness</t>
    <phoneticPr fontId="3" type="noConversion"/>
  </si>
  <si>
    <t>Termination</t>
    <phoneticPr fontId="3" type="noConversion"/>
  </si>
  <si>
    <t>IPA</t>
    <phoneticPr fontId="3" type="noConversion"/>
  </si>
  <si>
    <t>N_dorsal_scar</t>
    <phoneticPr fontId="3" type="noConversion"/>
  </si>
  <si>
    <t>Dorsal_scar_pattern</t>
    <phoneticPr fontId="3" type="noConversion"/>
  </si>
  <si>
    <t>Note</t>
    <phoneticPr fontId="3" type="noConversion"/>
  </si>
  <si>
    <t>Complete_flake</t>
    <phoneticPr fontId="2" type="noConversion"/>
  </si>
  <si>
    <t>Cortical</t>
    <phoneticPr fontId="2" type="noConversion"/>
  </si>
  <si>
    <t>Feathered</t>
    <phoneticPr fontId="2" type="noConversion"/>
  </si>
  <si>
    <t>Linear</t>
    <phoneticPr fontId="2" type="noConversion"/>
  </si>
  <si>
    <t>Bipolar_flake</t>
    <phoneticPr fontId="2" type="noConversion"/>
  </si>
  <si>
    <t>19YHBT2-9-L2:522</t>
  </si>
  <si>
    <t>19YHBT2-9-L2:445</t>
    <phoneticPr fontId="2" type="noConversion"/>
  </si>
  <si>
    <t>Multifacial</t>
  </si>
  <si>
    <t>Polyhedral</t>
  </si>
  <si>
    <t>Orthogonal_multidirection</t>
  </si>
  <si>
    <t>19YHBT2-12-L3:1089</t>
    <phoneticPr fontId="2" type="noConversion"/>
  </si>
  <si>
    <t>19YHBT2-9-L2:474</t>
  </si>
  <si>
    <t>19YHBT2-7-L3:1259</t>
  </si>
  <si>
    <t>Trachyte</t>
    <phoneticPr fontId="2" type="noConversion"/>
  </si>
  <si>
    <t>19YHBT2-9-L2:438</t>
  </si>
  <si>
    <t>19YHBT2-9-L2:3165</t>
  </si>
  <si>
    <t>19YHBT2-9-L2:3145</t>
  </si>
  <si>
    <t>Unweathered</t>
    <phoneticPr fontId="2" type="noConversion"/>
  </si>
  <si>
    <t>19YHBT2-9-L2:3135</t>
  </si>
  <si>
    <t>19YHBT2-9-L1:382</t>
  </si>
  <si>
    <t>19YHBT2-10-L1:629</t>
  </si>
  <si>
    <t>19YHBT2-7-L2:1234</t>
  </si>
  <si>
    <t>19YHBT2-9-L1:400</t>
  </si>
  <si>
    <t>19YHBT2-7-L1:204</t>
  </si>
  <si>
    <t>19YHBT2-12-L1:905</t>
  </si>
  <si>
    <t>19YHBT2-9-L2:464</t>
  </si>
  <si>
    <t>19YHBT2-3-L2:1193</t>
  </si>
  <si>
    <t>19YHBT2-9-L2:3172</t>
  </si>
  <si>
    <t>19YHBT2-9-L2:3168</t>
  </si>
  <si>
    <t>19YHBT2-9-L1:1283</t>
  </si>
  <si>
    <t>19YHBT2-12-L1:1352</t>
  </si>
  <si>
    <t>Granite</t>
    <phoneticPr fontId="2" type="noConversion"/>
  </si>
  <si>
    <t>19YHBT2-9-L1:1279</t>
  </si>
  <si>
    <t>19YHBT2-9-L2:494</t>
  </si>
  <si>
    <t>19YHBT2-3-L2:10</t>
  </si>
  <si>
    <t>19YHBT2-3-L2:178</t>
  </si>
  <si>
    <t>19YHBT2-9-L2:506</t>
  </si>
  <si>
    <t>19YHBT2-9-L2:1300</t>
  </si>
  <si>
    <t>Centripetal_multidirection</t>
  </si>
  <si>
    <t>19YHBT2-6-L1:153</t>
  </si>
  <si>
    <t>Moderately</t>
    <phoneticPr fontId="2" type="noConversion"/>
  </si>
  <si>
    <t>19YHBT2-9-L1:386</t>
  </si>
  <si>
    <t>19YHBT2-9-L2:514</t>
  </si>
  <si>
    <t>19YHBT2-12-L1:941</t>
  </si>
  <si>
    <t>19YHBT2-11-L1:696</t>
  </si>
  <si>
    <t>19YHBT2-9-L2:472</t>
  </si>
  <si>
    <t>Multifacial_core</t>
    <phoneticPr fontId="2" type="noConversion"/>
  </si>
  <si>
    <t>Centripetal_core</t>
    <phoneticPr fontId="2" type="noConversion"/>
  </si>
  <si>
    <t>19YHBT2-8-L1:333</t>
  </si>
  <si>
    <t>19YHBT2-9-L2:1346</t>
  </si>
  <si>
    <t>19YHBT2-11-L2:764</t>
  </si>
  <si>
    <t>19YHBT2-3-L2:3530</t>
    <phoneticPr fontId="2" type="noConversion"/>
  </si>
  <si>
    <t>19YHBT2-7-L2:3118</t>
  </si>
  <si>
    <t>19YHBT2-7-L3:1255</t>
  </si>
  <si>
    <t>19YHBT2-3-L2:436</t>
    <phoneticPr fontId="2" type="noConversion"/>
  </si>
  <si>
    <t>Blank</t>
    <phoneticPr fontId="2" type="noConversion"/>
  </si>
  <si>
    <t>Edge_angle_1</t>
    <phoneticPr fontId="2" type="noConversion"/>
  </si>
  <si>
    <t>Scar_layer_1</t>
    <phoneticPr fontId="2" type="noConversion"/>
  </si>
  <si>
    <t>Retouch_direction_1</t>
    <phoneticPr fontId="2" type="noConversion"/>
  </si>
  <si>
    <t>Retouch_location_1</t>
    <phoneticPr fontId="2" type="noConversion"/>
  </si>
  <si>
    <t>t_1_1</t>
    <phoneticPr fontId="2" type="noConversion"/>
  </si>
  <si>
    <t>t_1_2</t>
    <phoneticPr fontId="2" type="noConversion"/>
  </si>
  <si>
    <t>t_1_3</t>
    <phoneticPr fontId="2" type="noConversion"/>
  </si>
  <si>
    <t>T_1_1</t>
    <phoneticPr fontId="2" type="noConversion"/>
  </si>
  <si>
    <t>T_1_2</t>
    <phoneticPr fontId="2" type="noConversion"/>
  </si>
  <si>
    <t>T_1_3</t>
    <phoneticPr fontId="2" type="noConversion"/>
  </si>
  <si>
    <t>GIUR_1_1</t>
    <phoneticPr fontId="2" type="noConversion"/>
  </si>
  <si>
    <t>GIUR_1_2</t>
    <phoneticPr fontId="2" type="noConversion"/>
  </si>
  <si>
    <t>GIUR_1_3</t>
    <phoneticPr fontId="2" type="noConversion"/>
  </si>
  <si>
    <t>Retouch_direction_2</t>
  </si>
  <si>
    <t>Retouch_location_2</t>
  </si>
  <si>
    <t>Scar_layer_2</t>
  </si>
  <si>
    <t>N_scar_2</t>
  </si>
  <si>
    <t>t_2_1</t>
    <phoneticPr fontId="2" type="noConversion"/>
  </si>
  <si>
    <t>t_2_2</t>
    <phoneticPr fontId="2" type="noConversion"/>
  </si>
  <si>
    <t>t_2_3</t>
    <phoneticPr fontId="2" type="noConversion"/>
  </si>
  <si>
    <t>T_2_1</t>
    <phoneticPr fontId="2" type="noConversion"/>
  </si>
  <si>
    <t>T_2_2</t>
    <phoneticPr fontId="2" type="noConversion"/>
  </si>
  <si>
    <t>T_2_3</t>
    <phoneticPr fontId="2" type="noConversion"/>
  </si>
  <si>
    <t>GIUR_2_1</t>
    <phoneticPr fontId="2" type="noConversion"/>
  </si>
  <si>
    <t>GIUR_2_2</t>
    <phoneticPr fontId="2" type="noConversion"/>
  </si>
  <si>
    <t>GIUR_2_3</t>
    <phoneticPr fontId="2" type="noConversion"/>
  </si>
  <si>
    <t>19YHBT2-7-L3:1260</t>
  </si>
  <si>
    <t>19YHBT2-3-L2:3</t>
  </si>
  <si>
    <t>19YHBT2-3-L2:3070</t>
  </si>
  <si>
    <t>19YHBT2-11-L1:715</t>
  </si>
  <si>
    <t>19YHBT2-3-L2:19</t>
  </si>
  <si>
    <t>19YHBT2-4-L1:110</t>
  </si>
  <si>
    <t>19YHBT2-12-L1:906</t>
  </si>
  <si>
    <t>19YHBT2-7-L1:1212</t>
  </si>
  <si>
    <t>19YHBT2-8-L1:331</t>
  </si>
  <si>
    <t>19YHBT2-3-L2:1</t>
  </si>
  <si>
    <t>19YHBT2-7-L2:221</t>
  </si>
  <si>
    <t>19YHBT2-7-L1:183</t>
  </si>
  <si>
    <t>19YHBT2-3-L2:36</t>
  </si>
  <si>
    <t>19YHBT2-9-L2:500</t>
  </si>
  <si>
    <t>19YHBT2-3-L2:154</t>
  </si>
  <si>
    <t>19YHBT2-12-L1:884</t>
  </si>
  <si>
    <t>19YHBT2-7-L3:1262</t>
  </si>
  <si>
    <t>19YHBT2-7-L2:245</t>
  </si>
  <si>
    <t>19YHBT2-3-L2:1191</t>
  </si>
  <si>
    <t>19YHBT2-11-L1:709</t>
  </si>
  <si>
    <t>19YHBT2-7-L1:3103</t>
  </si>
  <si>
    <t>19YHBT2-9-L2:525</t>
  </si>
  <si>
    <t>19YHBT2-11-L1:679</t>
  </si>
  <si>
    <t>19YHBT2-3-L2:27</t>
  </si>
  <si>
    <t>19YHBT2-3-L2:1101</t>
  </si>
  <si>
    <t>19YHBT2-3-L2:30</t>
  </si>
  <si>
    <t>19YHBT2-9-L1:380</t>
  </si>
  <si>
    <t>19YHBT2-12-L1:945</t>
  </si>
  <si>
    <t>19YHBT2-3-L2:13</t>
  </si>
  <si>
    <t>19YHBT2-9-L1:398</t>
  </si>
  <si>
    <t>Scraper</t>
  </si>
  <si>
    <t>Notch</t>
  </si>
  <si>
    <t>Denticulate</t>
  </si>
  <si>
    <t>Chopper</t>
  </si>
  <si>
    <t>Hammerstone</t>
  </si>
  <si>
    <t>Flake</t>
    <phoneticPr fontId="2" type="noConversion"/>
  </si>
  <si>
    <t>Notch</t>
    <phoneticPr fontId="2" type="noConversion"/>
  </si>
  <si>
    <t>Informal_tool</t>
    <phoneticPr fontId="2" type="noConversion"/>
  </si>
  <si>
    <t>Denticulate</t>
    <phoneticPr fontId="2" type="noConversion"/>
  </si>
  <si>
    <t>Tool</t>
    <phoneticPr fontId="2" type="noConversion"/>
  </si>
  <si>
    <t>19YHBT2-3-L2:2</t>
  </si>
  <si>
    <t>19YHBT2-3-L2:8</t>
  </si>
  <si>
    <t>19YHBT2-3-L2:31</t>
  </si>
  <si>
    <t>19YHBT2-3-L2:34</t>
  </si>
  <si>
    <t>19YHBT2-3-L2:44</t>
  </si>
  <si>
    <t>19YHBT2-3-L2:40</t>
  </si>
  <si>
    <t>19YHBT2-3-L2:49</t>
  </si>
  <si>
    <t>19YHBT2-3-L2:54</t>
  </si>
  <si>
    <t>19YHBT2-3-L2:55</t>
  </si>
  <si>
    <t>19YHBT2-3-L2:57</t>
  </si>
  <si>
    <t>19YHBT2-3-L2:58</t>
  </si>
  <si>
    <t>19YHBT2-3-L2:66</t>
  </si>
  <si>
    <t>19YHBT2-4-L1:87</t>
  </si>
  <si>
    <t>19YHBT2-4-L1:88</t>
  </si>
  <si>
    <t>19YHBT2-4-L1:92</t>
  </si>
  <si>
    <t>19YHBT2-4-L1:94</t>
  </si>
  <si>
    <t>19YHBT2-4-L1:96</t>
  </si>
  <si>
    <t>19YHBT2-4-L1:103</t>
  </si>
  <si>
    <t>19YHBT2-4-L1:108</t>
  </si>
  <si>
    <t>19YHBT2-3-L2:189</t>
  </si>
  <si>
    <t>19YHBT2-4-L2:134</t>
  </si>
  <si>
    <t>19YHBT2-3-L2:135</t>
  </si>
  <si>
    <t>19YHBT2-6-L1:143</t>
  </si>
  <si>
    <t>19YHBT2-6-L1:151</t>
  </si>
  <si>
    <t>19YHBT2-6-L1:155</t>
  </si>
  <si>
    <t>19YHBT2-7-L1:164</t>
  </si>
  <si>
    <t>19YHBT2-7-L1:205</t>
  </si>
  <si>
    <t>19YHBT2-7-L1:171</t>
  </si>
  <si>
    <t>19YHBT2-7-L1:172</t>
  </si>
  <si>
    <t>19YHBT2-7-L1:173</t>
  </si>
  <si>
    <t>19YHBT2-3-L2:174</t>
  </si>
  <si>
    <t>19YHBT2-7-L1:176</t>
  </si>
  <si>
    <t>19YHBT2-3-L2:180</t>
  </si>
  <si>
    <t>19YHBT2-3-L2:188</t>
  </si>
  <si>
    <t>19YHBT2-3-L2:194</t>
  </si>
  <si>
    <t>19YHBT2-7-L1:201</t>
  </si>
  <si>
    <t>19YHBT2-7-L2:232</t>
  </si>
  <si>
    <t>19YHBT2-7-L2:234</t>
  </si>
  <si>
    <t>19YHBT2-3-L2:236</t>
  </si>
  <si>
    <t>19YHBT2-3-L2:237</t>
  </si>
  <si>
    <t>19YHBT2-7-L2:238</t>
  </si>
  <si>
    <t>19YHBT2-7-L2:243</t>
  </si>
  <si>
    <t>19YHBT2-7-L2:251</t>
  </si>
  <si>
    <t>19YHBT2-7-L2:256</t>
  </si>
  <si>
    <t>19YHBT2-7-L2:258</t>
  </si>
  <si>
    <t>19YHBT2-7-L2:263</t>
  </si>
  <si>
    <t>19YHBT2-7-L2:268</t>
  </si>
  <si>
    <t>19YHBT2-7-L2:277</t>
  </si>
  <si>
    <t>19YHBT2-7-L2:278</t>
  </si>
  <si>
    <t>19YHBT2-7-L2:283</t>
  </si>
  <si>
    <t>19YHBT2-8-L1:326</t>
  </si>
  <si>
    <t>19YHBT2-8-L1:332</t>
  </si>
  <si>
    <t>19YHBT2-8-L1:334</t>
  </si>
  <si>
    <t>19YHBT2-8-L1:363</t>
  </si>
  <si>
    <t>19YHBT2-9-L1:374</t>
  </si>
  <si>
    <t>19YHBT2-9-L1:392</t>
  </si>
  <si>
    <t>19YHBT2-9-L1:393</t>
  </si>
  <si>
    <t>19YHBT2-9-L1:394</t>
  </si>
  <si>
    <t>19YHBT2-9-L1:403</t>
  </si>
  <si>
    <t>19YHBT2-9-L1:406</t>
  </si>
  <si>
    <t>19YHBT2-9-L2:453</t>
  </si>
  <si>
    <t>19YHBT2-9-L2:482</t>
  </si>
  <si>
    <t>19YHBT2-9-L2:513</t>
  </si>
  <si>
    <t>19YHBT2-9-L2:521</t>
  </si>
  <si>
    <t>19YHBT2-3-L2:714</t>
  </si>
  <si>
    <t>19YHBT2-11-L2:768</t>
  </si>
  <si>
    <t>19YHBT2-11-L2:790</t>
  </si>
  <si>
    <t>19YHBT2-11-L2:794</t>
  </si>
  <si>
    <t>19YHBT2-11-L2:799</t>
  </si>
  <si>
    <t>19YHBT2-11-L2:800</t>
  </si>
  <si>
    <t>19YHBT2-12-L1:907</t>
  </si>
  <si>
    <t>19YHBT2-12-L1:921</t>
  </si>
  <si>
    <t>19YHBT2-12-L3:1073</t>
  </si>
  <si>
    <t>19YHBT2-12-L3:1090</t>
  </si>
  <si>
    <t>19YHBT2-3-L2:1185</t>
  </si>
  <si>
    <t>19YHBT2-4-L1:1197</t>
  </si>
  <si>
    <t>19YHBT2-4-L1:1200</t>
  </si>
  <si>
    <t>19YHBT2-4-L2:1202</t>
  </si>
  <si>
    <t>19YHBT2-4-L2:1207</t>
  </si>
  <si>
    <t>19YHBT2-5-L1:1209</t>
  </si>
  <si>
    <t>19YHBT2-7-L1:1214</t>
  </si>
  <si>
    <t>19YHBT2-7-L2:1224</t>
  </si>
  <si>
    <t>19YHBT2-7-L2:1225</t>
  </si>
  <si>
    <t>19YHBT2-7-L2:1231</t>
  </si>
  <si>
    <t>19YHBT2-7-L2:1235</t>
  </si>
  <si>
    <t>19YHBT2-7-L2:1239</t>
  </si>
  <si>
    <t>19YHBT2-7-L3:1240</t>
  </si>
  <si>
    <t>19YHBT2-7-L3:1241</t>
  </si>
  <si>
    <t>19YHBT2-7-L3:1242</t>
  </si>
  <si>
    <t>19YHBT2-7-L3:1243</t>
  </si>
  <si>
    <t>19YHBT2-7-L3:1249</t>
  </si>
  <si>
    <t>19YHBT2-7-L3:1250</t>
  </si>
  <si>
    <t>19YHBT2-7-L3:1251</t>
  </si>
  <si>
    <t>19YHBT2-7-L3:1256</t>
  </si>
  <si>
    <t>19YHBT2-7-L3:1257</t>
  </si>
  <si>
    <t>19YHBT2-7-L3:1266</t>
  </si>
  <si>
    <t>19YHBT2-9-L1:1275</t>
  </si>
  <si>
    <t>19YHBT2-9-L1:1284</t>
  </si>
  <si>
    <t>19YHBT2-9-L1:1285</t>
  </si>
  <si>
    <t>19YHBT2-9-L2:1289</t>
  </si>
  <si>
    <t>19YHBT2-9-L2:1294</t>
  </si>
  <si>
    <t>19YHBT2-9-L2:1308</t>
  </si>
  <si>
    <t>19YHBT2-11-L1:1328</t>
  </si>
  <si>
    <t>19YHBT2-11-L2:1332</t>
  </si>
  <si>
    <t>19YHBT2-11-L2:1333</t>
  </si>
  <si>
    <t>19YHBT2-12-L1:1343</t>
  </si>
  <si>
    <t>19YHBT2-3-L2:3068</t>
  </si>
  <si>
    <t>19YHBT2-3-L2:3079</t>
  </si>
  <si>
    <t>19YHBT2-3-L2:3084</t>
  </si>
  <si>
    <t>19YHBT2-3-L2:3089</t>
  </si>
  <si>
    <t>19YHBT2-3-L2:3093</t>
  </si>
  <si>
    <t>19YHBT2-3-L2:3096</t>
  </si>
  <si>
    <t>19YHBT2-3-L2:3098</t>
  </si>
  <si>
    <t>19YHBT2-3-L2:3104</t>
  </si>
  <si>
    <t>19YHBT2-7-L2:3110</t>
  </si>
  <si>
    <t>19YHBT2-7-L2:3116</t>
  </si>
  <si>
    <t>19YHBT2-7-L2:3126</t>
  </si>
  <si>
    <t>19YHBT2-9-L2:3134</t>
  </si>
  <si>
    <t>19YHBT2-9-L2:3143</t>
  </si>
  <si>
    <t>19YHBT2-9-L2:3147</t>
  </si>
  <si>
    <t>19YHBT2-9-L2:3176</t>
  </si>
  <si>
    <t>19YHBT2-6:3178</t>
  </si>
  <si>
    <t>19YHBT2-6:3179</t>
  </si>
  <si>
    <t>6-L2</t>
  </si>
  <si>
    <t>Cortex</t>
  </si>
  <si>
    <t>19YHBT2-3-L2:12</t>
  </si>
  <si>
    <t>19YHBT2-3-L2:26</t>
  </si>
  <si>
    <t>19YHBT2-3-L2:28</t>
  </si>
  <si>
    <t>19YHBT2-3-L2:29</t>
  </si>
  <si>
    <t>19YHBT2-3-L2:51</t>
  </si>
  <si>
    <t>19YHBT2-3-L2:56</t>
  </si>
  <si>
    <t>19YHBT2-3-L2:59</t>
  </si>
  <si>
    <t>19YHBT2-4-L1:100</t>
  </si>
  <si>
    <t>19YHBT2-6-L1:147</t>
  </si>
  <si>
    <t>19YHBT2-7-L1:163</t>
  </si>
  <si>
    <t>19YHBT2-3-L2:175</t>
  </si>
  <si>
    <t>19YHBT2-3-L2:181</t>
  </si>
  <si>
    <t>19YHBT2-3-L2:193</t>
  </si>
  <si>
    <t>19YHBT2-3-L2:206</t>
  </si>
  <si>
    <t>19YHBT2-7-L2:254</t>
  </si>
  <si>
    <t>19YHBT2-8-L1:328</t>
  </si>
  <si>
    <t>19YHBT2-9-L1:365</t>
  </si>
  <si>
    <t>19YHBT2-9-L1:368</t>
  </si>
  <si>
    <t>19YHBT2-9-L1:377</t>
  </si>
  <si>
    <t>19YHBT2-10-L1:622</t>
  </si>
  <si>
    <t>19YHBT2-11-L1:705</t>
  </si>
  <si>
    <t>19YHBT2-11-L2:774</t>
  </si>
  <si>
    <t>19YHBT2-11-L2:814</t>
  </si>
  <si>
    <t>19YHBT2-4-L1:1199</t>
  </si>
  <si>
    <t>19YHBT2-4-L2:1203</t>
  </si>
  <si>
    <t>19YHBT2-4-L2:1204</t>
  </si>
  <si>
    <t>19YHBT2-7-L2:1233</t>
  </si>
  <si>
    <t>19YHBT2-7-L3:1252</t>
  </si>
  <si>
    <t>19YHBT2-7-L3:1264</t>
  </si>
  <si>
    <t>19YHBT2-8-L1:1271</t>
  </si>
  <si>
    <t>19YHBT2-9-L1:1277</t>
  </si>
  <si>
    <t>19YHBT2-9-L2:1310</t>
  </si>
  <si>
    <t>19YHBT2-9-L2:1312</t>
  </si>
  <si>
    <t>19YHBT2-11-L2:1337</t>
  </si>
  <si>
    <t>19YHBT2-11-L2:1340</t>
  </si>
  <si>
    <t>19YHBT2-3-L2:3082</t>
  </si>
  <si>
    <t>19YHBT2-3-L2:3083</t>
  </si>
  <si>
    <t>19YHBT2-3-L2:3085</t>
  </si>
  <si>
    <t>19YHBT2-3-L2:3086</t>
  </si>
  <si>
    <t>19YHBT2-3-L2:3097</t>
  </si>
  <si>
    <t>19YHBT2-3-L2:3106</t>
  </si>
  <si>
    <t>19YHBT2-7-L2:3109</t>
  </si>
  <si>
    <t>19YHBT2-7-L2:3114</t>
  </si>
  <si>
    <t>19YHBT2-7-L2:3124</t>
  </si>
  <si>
    <t>19YHBT2-9-L2:3132</t>
  </si>
  <si>
    <t>19YHBT2-9-L2:3155</t>
  </si>
  <si>
    <t>19YHBT2-3-L2:5</t>
  </si>
  <si>
    <t>19YHBT2-3-L2:9</t>
  </si>
  <si>
    <t>19YHBT2-3-L2:18</t>
  </si>
  <si>
    <t>19YHBT2-3-L2:39</t>
  </si>
  <si>
    <t>19YHBT2-3-L2:42</t>
  </si>
  <si>
    <t>19YHBT2-3-L2:48</t>
  </si>
  <si>
    <t>19YHBT2-4-L1:89</t>
  </si>
  <si>
    <t>19YHBT2-6-L1:146</t>
  </si>
  <si>
    <t>19YHBT2-7-L1:166</t>
  </si>
  <si>
    <t>19YHBT2-3-L2:179</t>
  </si>
  <si>
    <t>19YHBT2-7-L1:182</t>
  </si>
  <si>
    <t>19YHBT2-3-L2:184</t>
  </si>
  <si>
    <t>19YHBT2-7-L1:199</t>
  </si>
  <si>
    <t>19YHBT2-7-L2:248</t>
  </si>
  <si>
    <t>19YHBT2-7-L2:249</t>
  </si>
  <si>
    <t>19YHBT2-7-L2:276</t>
  </si>
  <si>
    <t>19YHBT2-7-L2:281</t>
  </si>
  <si>
    <t>19YHBT2-9-L1:381</t>
  </si>
  <si>
    <t>19YHBT2-9-L1:390</t>
  </si>
  <si>
    <t>19YHBT2-9-L2:448</t>
  </si>
  <si>
    <t>19YHBT2-9-L2:459</t>
  </si>
  <si>
    <t>19YHBT2-11-L2:791</t>
  </si>
  <si>
    <t>19YHBT2-11-L2:796</t>
  </si>
  <si>
    <t>19YHBT2-11-L2:815</t>
  </si>
  <si>
    <t>19YHBT2-12-L1:891</t>
  </si>
  <si>
    <t>19YHBT2-12-L1:892</t>
  </si>
  <si>
    <t>19YHBT2-3-L2:893</t>
  </si>
  <si>
    <t>19YHBT2-12-L1:896</t>
  </si>
  <si>
    <t>19YHBT2-12-L1:925</t>
  </si>
  <si>
    <t>19YHBT2-12-L1:937</t>
  </si>
  <si>
    <t>19YHBT2-12-L3:1066</t>
  </si>
  <si>
    <t>19YHBT2-12-L3:1079</t>
  </si>
  <si>
    <t>19YHBT2-12-L3:1182</t>
  </si>
  <si>
    <t>19YHBT2-12-L3:1086</t>
  </si>
  <si>
    <t>19YHBT2-3-L2:1186</t>
  </si>
  <si>
    <t>19YHBT2-4-L1:1198</t>
  </si>
  <si>
    <t>19YHBT2-4-L2:1206</t>
  </si>
  <si>
    <t>19YHBT2-7-L2:1219</t>
  </si>
  <si>
    <t>19YHBT2-7-L3:1267</t>
  </si>
  <si>
    <t>19YHBT2-9-L2:1311</t>
  </si>
  <si>
    <t>19YHBT2-12-L2:1351</t>
  </si>
  <si>
    <t>19YHBT2-12-L2:1353</t>
  </si>
  <si>
    <t>19YHBT2-3-L2:3069</t>
  </si>
  <si>
    <t>19YHBT2-3-L2:3071</t>
  </si>
  <si>
    <t>19YHBT2-3-L2:3073</t>
  </si>
  <si>
    <t>19YHBT2-3-L2:3074</t>
  </si>
  <si>
    <t>19YHBT2-3-L2:3080</t>
  </si>
  <si>
    <t>19YHBT2-7-L2:3129</t>
  </si>
  <si>
    <t>Incomplete_flake</t>
    <phoneticPr fontId="2" type="noConversion"/>
  </si>
  <si>
    <t>Siret_left</t>
  </si>
  <si>
    <t>Siret_right</t>
  </si>
  <si>
    <t>Fragment_distal</t>
  </si>
  <si>
    <t>Fragment_proximal</t>
  </si>
  <si>
    <t xml:space="preserve">Cortex                   </t>
  </si>
  <si>
    <t>Plain</t>
  </si>
  <si>
    <t>Faceted</t>
    <phoneticPr fontId="2" type="noConversion"/>
  </si>
  <si>
    <t>Cortex</t>
    <phoneticPr fontId="2" type="noConversion"/>
  </si>
  <si>
    <t>Unidirection_proximal</t>
    <phoneticPr fontId="2" type="noConversion"/>
  </si>
  <si>
    <t>Cortical_flake</t>
    <phoneticPr fontId="2" type="noConversion"/>
  </si>
  <si>
    <t>Debordant_flake</t>
    <phoneticPr fontId="2" type="noConversion"/>
  </si>
  <si>
    <t>Plain</t>
    <phoneticPr fontId="2" type="noConversion"/>
  </si>
  <si>
    <t>Centripetal</t>
    <phoneticPr fontId="2" type="noConversion"/>
  </si>
  <si>
    <t>19YHBT2-9-L2:439</t>
    <phoneticPr fontId="2" type="noConversion"/>
  </si>
  <si>
    <t>Naturally_back_flake</t>
    <phoneticPr fontId="2" type="noConversion"/>
  </si>
  <si>
    <t>Stepped</t>
    <phoneticPr fontId="2" type="noConversion"/>
  </si>
  <si>
    <t>NA</t>
    <phoneticPr fontId="2" type="noConversion"/>
  </si>
  <si>
    <t>Lateral</t>
    <phoneticPr fontId="2" type="noConversion"/>
  </si>
  <si>
    <t>Kombewa_flake</t>
    <phoneticPr fontId="2" type="noConversion"/>
  </si>
  <si>
    <t>Pointed</t>
    <phoneticPr fontId="2" type="noConversion"/>
  </si>
  <si>
    <t>Orthogonal</t>
    <phoneticPr fontId="2" type="noConversion"/>
  </si>
  <si>
    <t>Unidirection_distal</t>
    <phoneticPr fontId="2" type="noConversion"/>
  </si>
  <si>
    <t>Overshot</t>
    <phoneticPr fontId="2" type="noConversion"/>
  </si>
  <si>
    <t>Dihedral</t>
    <phoneticPr fontId="2" type="noConversion"/>
  </si>
  <si>
    <t>Hinged</t>
    <phoneticPr fontId="2" type="noConversion"/>
  </si>
  <si>
    <t>Punctiform</t>
    <phoneticPr fontId="2" type="noConversion"/>
  </si>
  <si>
    <t>Fragment_medium</t>
    <phoneticPr fontId="2" type="noConversion"/>
  </si>
  <si>
    <t>Fragment_proximal</t>
    <phoneticPr fontId="2" type="noConversion"/>
  </si>
  <si>
    <t>19YHBT2-9-L2:441</t>
    <phoneticPr fontId="2" type="noConversion"/>
  </si>
  <si>
    <t>19YHBT2-3-L2:3532</t>
    <phoneticPr fontId="2" type="noConversion"/>
  </si>
  <si>
    <t>19YHBT2-7-L2:264</t>
    <phoneticPr fontId="2" type="noConversion"/>
  </si>
  <si>
    <t>Opposite</t>
    <phoneticPr fontId="2" type="noConversion"/>
  </si>
  <si>
    <t>Siret_right</t>
    <phoneticPr fontId="2" type="noConversion"/>
  </si>
  <si>
    <t>Slightly</t>
    <phoneticPr fontId="2" type="noConversion"/>
  </si>
  <si>
    <t>Mudstone</t>
    <phoneticPr fontId="2" type="noConversion"/>
  </si>
  <si>
    <t>19YHBT2-3-L2:196</t>
    <phoneticPr fontId="2" type="noConversion"/>
  </si>
  <si>
    <t>Fragment_distal</t>
    <phoneticPr fontId="2" type="noConversion"/>
  </si>
  <si>
    <t>19YHBT2-3-L2:3531</t>
    <phoneticPr fontId="2" type="noConversion"/>
  </si>
  <si>
    <t>Unidirection_distal</t>
  </si>
  <si>
    <t>Lateral</t>
  </si>
  <si>
    <t>Siret_left</t>
    <phoneticPr fontId="2" type="noConversion"/>
  </si>
  <si>
    <t>Unidirection_proximal</t>
  </si>
  <si>
    <t>Obverse</t>
  </si>
  <si>
    <t>Inverse</t>
  </si>
  <si>
    <t>Proximal</t>
  </si>
  <si>
    <t>Left</t>
  </si>
  <si>
    <t>Right</t>
  </si>
  <si>
    <t>Distal</t>
  </si>
  <si>
    <t>Flake</t>
  </si>
  <si>
    <t>Pebble</t>
    <phoneticPr fontId="2" type="noConversion"/>
  </si>
  <si>
    <t>GIUR_Total</t>
    <phoneticPr fontId="2" type="noConversion"/>
  </si>
  <si>
    <t>Chunk</t>
  </si>
  <si>
    <t>Pebble</t>
  </si>
  <si>
    <t>Edge_angle_2</t>
    <phoneticPr fontId="2" type="noConversion"/>
  </si>
  <si>
    <t>Edge_angle_Total</t>
    <phoneticPr fontId="2" type="noConversion"/>
  </si>
  <si>
    <t>19YHBT2-3-L2:3533</t>
    <phoneticPr fontId="2" type="noConversion"/>
  </si>
  <si>
    <t>Fracture_type</t>
    <phoneticPr fontId="2" type="noConversion"/>
  </si>
  <si>
    <t>Tool_type</t>
    <phoneticPr fontId="2" type="noConversion"/>
  </si>
  <si>
    <t>Unifacial_unidirectional</t>
    <phoneticPr fontId="2" type="noConversion"/>
  </si>
  <si>
    <t>Initial_exploitation</t>
    <phoneticPr fontId="2" type="noConversion"/>
  </si>
  <si>
    <t>N_scar_total</t>
    <phoneticPr fontId="2" type="noConversion"/>
  </si>
  <si>
    <t>Unifacial_centripetal</t>
    <phoneticPr fontId="2" type="noConversion"/>
  </si>
  <si>
    <t>Bipolar_on_anvil</t>
    <phoneticPr fontId="2" type="noConversion"/>
  </si>
  <si>
    <t>Bifacial_bidirection</t>
    <phoneticPr fontId="2" type="noConversion"/>
  </si>
  <si>
    <t>Bifacial_multidirection</t>
    <phoneticPr fontId="2" type="noConversion"/>
  </si>
  <si>
    <t>Multifacial_multidirection</t>
  </si>
  <si>
    <t>Unifacial_orthogonal</t>
    <phoneticPr fontId="2" type="noConversion"/>
  </si>
  <si>
    <t>Unifacial_semicentripetal</t>
    <phoneticPr fontId="2" type="noConversion"/>
  </si>
  <si>
    <t>Multifacial_bidirection</t>
    <phoneticPr fontId="2" type="noConversion"/>
  </si>
  <si>
    <t>Unifacial_oppsite</t>
    <phoneticPr fontId="2" type="noConversion"/>
  </si>
  <si>
    <t>Bifacial_unidirectional</t>
    <phoneticPr fontId="2" type="noConversion"/>
  </si>
  <si>
    <t>Discoidal_core</t>
  </si>
  <si>
    <t>Initial_core</t>
    <phoneticPr fontId="2" type="noConversion"/>
  </si>
  <si>
    <t>Bifacial_core</t>
  </si>
  <si>
    <t>Core_on_flake</t>
  </si>
  <si>
    <t>Discoidal_core</t>
    <phoneticPr fontId="2" type="noConversion"/>
  </si>
  <si>
    <t>Unifacial_core</t>
    <phoneticPr fontId="2" type="noConversion"/>
  </si>
  <si>
    <t>Bipolar_on_anvil_core</t>
    <phoneticPr fontId="2" type="noConversion"/>
  </si>
  <si>
    <t>Bifacial_unidirectional</t>
  </si>
  <si>
    <t>Bifacial_centripetal</t>
  </si>
  <si>
    <t>Unipolar_flake</t>
    <phoneticPr fontId="2" type="noConversion"/>
  </si>
  <si>
    <t>Orthogonal_flake</t>
    <phoneticPr fontId="2" type="noConversion"/>
  </si>
  <si>
    <t>Bipolar_on_anvil_flake</t>
    <phoneticPr fontId="2" type="noConversion"/>
  </si>
  <si>
    <t>Ave_S_layer</t>
    <phoneticPr fontId="2" type="noConversion"/>
  </si>
  <si>
    <t>Ordinary_flake</t>
    <phoneticPr fontId="2" type="noConversion"/>
  </si>
  <si>
    <t>Silicalite</t>
    <phoneticPr fontId="2" type="noConversion"/>
  </si>
  <si>
    <t>Silicalite</t>
  </si>
  <si>
    <t>Ordinary_flake</t>
    <phoneticPr fontId="2" type="noConversion"/>
  </si>
  <si>
    <t>19YHBT2-7-L1:174</t>
  </si>
  <si>
    <t>19YHBT2-12-L2:1101</t>
  </si>
  <si>
    <t>19YHBT2-9-L1:360</t>
    <phoneticPr fontId="2" type="noConversion"/>
  </si>
  <si>
    <t>19YHBT2-3-L2:89</t>
  </si>
  <si>
    <t>19YHBT2-3-L2:90</t>
  </si>
  <si>
    <t>19YHBT2-3-L2:91</t>
  </si>
  <si>
    <t>19YHBT2-3-L2:92</t>
  </si>
  <si>
    <t>19YHBT2-3-L2:93</t>
  </si>
  <si>
    <t>19YHBT2-3-L2:94</t>
  </si>
  <si>
    <t>19YHBT2-3-L2:95</t>
  </si>
  <si>
    <t>19YHBT2-3-L2:96</t>
  </si>
  <si>
    <t>19YHBT2-3-L2:97</t>
  </si>
  <si>
    <t>19YHBT2-3-L2:98</t>
  </si>
  <si>
    <t>19YHBT2-3-L2:99</t>
  </si>
  <si>
    <t>19YHBT2-3-L2:101</t>
  </si>
  <si>
    <t>19YHBT2-3-L2:102</t>
  </si>
  <si>
    <t>19YHBT2-3-L2:103</t>
  </si>
  <si>
    <t>19YHBT2-3-L2:104</t>
  </si>
  <si>
    <t>19YHBT2-3-L2:106</t>
  </si>
  <si>
    <t>19YHBT2-3-L2:107</t>
  </si>
  <si>
    <t>19YHBT2-3-L2:108</t>
  </si>
  <si>
    <t>19YHBT2-3-L2:111</t>
  </si>
  <si>
    <t>19YHBT2-3-L2:112</t>
  </si>
  <si>
    <t>19YHBT2-3-L2:113</t>
  </si>
  <si>
    <t>19YHBT2-3-L2:114</t>
  </si>
  <si>
    <t>19YHBT2-3-L2:115</t>
  </si>
  <si>
    <t>19YHBT2-3-L2:116</t>
  </si>
  <si>
    <t>19YHBT2-3-L2:117</t>
  </si>
  <si>
    <t>19YHBT2-3-L2:118</t>
  </si>
  <si>
    <t>19YHBT2-3-L2:119</t>
  </si>
  <si>
    <t>19YHBT2-3-L2:120</t>
  </si>
  <si>
    <t>19YHBT2-3-L2:121</t>
  </si>
  <si>
    <t>19YHBT2-3-L2:122</t>
  </si>
  <si>
    <t>19YHBT2-3-L2:123</t>
  </si>
  <si>
    <t>19YHBT2-3-L2:124</t>
  </si>
  <si>
    <t>19YHBT2-3-L2:125</t>
  </si>
  <si>
    <t>19YHBT2-3-L2:126</t>
  </si>
  <si>
    <t>19YHBT2-3-L2:127</t>
  </si>
  <si>
    <t>19YHBT2-3-L2:128</t>
  </si>
  <si>
    <t>19YHBT2-3-L2:129</t>
  </si>
  <si>
    <t>19YHBT2-3-L2:130</t>
  </si>
  <si>
    <t>19YHBT2-3-L2:131</t>
  </si>
  <si>
    <t>19YHBT2-3-L2:132</t>
  </si>
  <si>
    <t>19YHBT2-3-L2:133</t>
  </si>
  <si>
    <t>19YHBT2-3-L2:134</t>
  </si>
  <si>
    <t>19YHBT2-3-L2:137</t>
  </si>
  <si>
    <t>19YHBT2-3-L2:139</t>
  </si>
  <si>
    <t>19YHBT2-3-L2:142</t>
  </si>
  <si>
    <t>19YHBT2-3-L2:143</t>
  </si>
  <si>
    <t>19YHBT2-3-L2:145</t>
  </si>
  <si>
    <t>19YHBT2-3-L2:146</t>
  </si>
  <si>
    <t>19YHBT2-3-L2:148</t>
  </si>
  <si>
    <t>19YHBT2-3-L2:151</t>
  </si>
  <si>
    <t>19YHBT2-3-L2:152</t>
  </si>
  <si>
    <t>19YHBT2-3-L2:284</t>
  </si>
  <si>
    <t>19YHBT2-3-L2:285</t>
  </si>
  <si>
    <t>19YHBT2-3-L2:286</t>
  </si>
  <si>
    <t>19YHBT2-3-L2:287</t>
  </si>
  <si>
    <t>19YHBT2-3-L2:288</t>
  </si>
  <si>
    <t>19YHBT2-3-L2:289</t>
  </si>
  <si>
    <t>19YHBT2-3-L2:290</t>
  </si>
  <si>
    <t>19YHBT2-3-L2:291</t>
  </si>
  <si>
    <t>19YHBT2-3-L2:292</t>
  </si>
  <si>
    <t>19YHBT2-3-L2:293</t>
  </si>
  <si>
    <t>19YHBT2-3-L2:294</t>
  </si>
  <si>
    <t>19YHBT2-3-L2:295</t>
  </si>
  <si>
    <t>19YHBT2-3-L2:296</t>
  </si>
  <si>
    <t>19YHBT2-3-L2:297</t>
  </si>
  <si>
    <t>19YHBT2-3-L2:298</t>
  </si>
  <si>
    <t>19YHBT2-3-L2:299</t>
  </si>
  <si>
    <t>19YHBT2-3-L2:300</t>
  </si>
  <si>
    <t>19YHBT2-3-L2:301</t>
  </si>
  <si>
    <t>19YHBT2-3-L2:302</t>
  </si>
  <si>
    <t>19YHBT2-3-L2:303</t>
  </si>
  <si>
    <t>19YHBT2-3-L2:304</t>
  </si>
  <si>
    <t>19YHBT2-3-L2:305</t>
  </si>
  <si>
    <t>19YHBT2-3-L2:306</t>
  </si>
  <si>
    <t>19YHBT2-3-L2:307</t>
  </si>
  <si>
    <t>19YHBT2-3-L2:308</t>
  </si>
  <si>
    <t>19YHBT2-3-L2:309</t>
  </si>
  <si>
    <t>19YHBT2-3-L2:310</t>
  </si>
  <si>
    <t>19YHBT2-3-L2:311</t>
  </si>
  <si>
    <t>19YHBT2-3-L2:312</t>
  </si>
  <si>
    <t>19YHBT2-3-L2:313</t>
  </si>
  <si>
    <t>19YHBT2-3-L2:314</t>
  </si>
  <si>
    <t>19YHBT2-3-L2:315</t>
  </si>
  <si>
    <t>19YHBT2-3-L2:316</t>
  </si>
  <si>
    <t>19YHBT2-3-L2:317</t>
  </si>
  <si>
    <t>19YHBT2-3-L2:318</t>
  </si>
  <si>
    <t>19YHBT2-3-L2:319</t>
  </si>
  <si>
    <t>19YHBT2-3-L2:320</t>
  </si>
  <si>
    <t>19YHBT2-3-L2:321</t>
  </si>
  <si>
    <t>19YHBT2-3-L2:322</t>
  </si>
  <si>
    <t>19YHBT2-3-L2:323</t>
  </si>
  <si>
    <t>19YHBT2-3-L2:324</t>
  </si>
  <si>
    <t>19YHBT2-3-L2:440</t>
  </si>
  <si>
    <t>19YHBT2-3-L2:441</t>
  </si>
  <si>
    <t>19YHBT2-3-L2:442</t>
  </si>
  <si>
    <t>19YHBT2-3-L2:443</t>
  </si>
  <si>
    <t>19YHBT2-3-L2:444</t>
  </si>
  <si>
    <t>19YHBT2-3-L2:445</t>
  </si>
  <si>
    <t>19YHBT2-3-L2:446</t>
  </si>
  <si>
    <t>19YHBT2-3-L2:447</t>
  </si>
  <si>
    <t>19YHBT2-3-L2:448</t>
  </si>
  <si>
    <t>19YHBT2-3-L2:449</t>
  </si>
  <si>
    <t>19YHBT2-3-L2:450</t>
  </si>
  <si>
    <t>19YHBT2-3-L2:451</t>
  </si>
  <si>
    <t>19YHBT2-3-L2:452</t>
  </si>
  <si>
    <t>19YHBT2-3-L2:453</t>
  </si>
  <si>
    <t>19YHBT2-3-L2:454</t>
  </si>
  <si>
    <t>19YHBT2-3-L2:455</t>
  </si>
  <si>
    <t>19YHBT2-3-L2:456</t>
  </si>
  <si>
    <t>19YHBT2-3-L2:457</t>
  </si>
  <si>
    <t>19YHBT2-3-L2:458</t>
  </si>
  <si>
    <t>19YHBT2-3-L2:459</t>
  </si>
  <si>
    <t>19YHBT2-3-L2:460</t>
  </si>
  <si>
    <t>19YHBT2-3-L2:461</t>
  </si>
  <si>
    <t>19YHBT2-3-L2:462</t>
  </si>
  <si>
    <t>19YHBT2-3-L2:463</t>
  </si>
  <si>
    <t>19YHBT2-3-L2:464</t>
  </si>
  <si>
    <t>19YHBT2-7-L1:2262</t>
  </si>
  <si>
    <t>19YHBT2-9-L2:2182</t>
  </si>
  <si>
    <t>19YHBT2-12-L3:778</t>
  </si>
  <si>
    <t>19YHBT2-4-L1:1036</t>
  </si>
  <si>
    <t>19YHBT2-4-L1:1335</t>
  </si>
  <si>
    <t>19YHBT2-4-L1:809</t>
  </si>
  <si>
    <t>19YHBT2-4-L1:986</t>
  </si>
  <si>
    <t>19YHBT2-4-L1:792</t>
  </si>
  <si>
    <t>19YHBT2-4-L1:472</t>
  </si>
  <si>
    <t>19YHBT2-4-L1:1951</t>
  </si>
  <si>
    <t>19YHBT2-4-L1:2286</t>
  </si>
  <si>
    <t>19YHBT2-4-L1:2505</t>
  </si>
  <si>
    <t>19YHBT2-4-L2:975</t>
  </si>
  <si>
    <t>19YHBT2-4-L2:596</t>
  </si>
  <si>
    <t>19YHBT2-4-L2:2277</t>
  </si>
  <si>
    <t>19YHBT2-4-L2:2584</t>
  </si>
  <si>
    <t>19YHBT2-4-L2:2708</t>
  </si>
  <si>
    <t>19YHBT2-4-L2:2051</t>
  </si>
  <si>
    <t>19YHBT2-4-L2:10</t>
  </si>
  <si>
    <t>19YHBT2-4-L2:1147</t>
  </si>
  <si>
    <t>19YHBT2-4-L2:117</t>
  </si>
  <si>
    <t>19YHBT2-4-L2:2037</t>
  </si>
  <si>
    <t>19YHBT2-5-L1:708</t>
  </si>
  <si>
    <t>19YHBT2-5-L1:784</t>
  </si>
  <si>
    <t>19YHBT2-5-L1:2078</t>
  </si>
  <si>
    <t>19YHBT2-5-L1:1592</t>
  </si>
  <si>
    <t>19YHBT2-6-L1:750</t>
  </si>
  <si>
    <t>19YHBT2-6-L1:1358</t>
  </si>
  <si>
    <t>19YHBT2-6-L1:1317</t>
  </si>
  <si>
    <t>19YHBT2-6-L1:481</t>
  </si>
  <si>
    <t>19YHBT2-6-L1:358</t>
  </si>
  <si>
    <t>19YHBT2-6-L1:2257</t>
  </si>
  <si>
    <t>19YHBT2-6-L1:1067</t>
  </si>
  <si>
    <t>19YHBT2-6-L1:2188</t>
  </si>
  <si>
    <t>19YHBT2-7-L1:1924</t>
  </si>
  <si>
    <t>19YHBT2-7-L1:840</t>
  </si>
  <si>
    <t>19YHBT2-7-L1:925</t>
  </si>
  <si>
    <t>19YHBT2-7-L1:786</t>
  </si>
  <si>
    <t>19YHBT2-7-L1:295</t>
  </si>
  <si>
    <t>19YHBT2-7-L1:332</t>
  </si>
  <si>
    <t>19YHBT2-7-L1:820</t>
  </si>
  <si>
    <t>19YHBT2-7-L1:2856</t>
  </si>
  <si>
    <t>19YHBT2-7-L1:2295</t>
  </si>
  <si>
    <t>19YHBT2-7-L1:1793</t>
  </si>
  <si>
    <t>19YHBT2-7-L1:2439</t>
  </si>
  <si>
    <t>19YHBT2-7-L1:2885</t>
  </si>
  <si>
    <t>19YHBT2-7-L1:2207</t>
  </si>
  <si>
    <t>19YHBT2-7-L1:313</t>
  </si>
  <si>
    <t>19YHBT2-7-L1:409</t>
  </si>
  <si>
    <t>19YHBT2-7-L1:2898</t>
  </si>
  <si>
    <t>19YHBT2-7-L1:869</t>
  </si>
  <si>
    <t>19YHBT2-7-L1:1348</t>
  </si>
  <si>
    <t>19YHBT2-7-L1:360</t>
  </si>
  <si>
    <t>19YHBT2-7-L1:389</t>
  </si>
  <si>
    <t>19YHBT2-7-L1:2363</t>
  </si>
  <si>
    <t>19YHBT2-7-L1:1890</t>
  </si>
  <si>
    <t>19YHBT2-7-L1:325</t>
  </si>
  <si>
    <t>19YHBT2-7-L1:2204</t>
  </si>
  <si>
    <t>19YHBT2-7-L1:437</t>
  </si>
  <si>
    <t>19YHBT2-7-L1:1114</t>
  </si>
  <si>
    <t>19YHBT2-7-L1:1822</t>
  </si>
  <si>
    <t>19YHBT2-7-L1:2569</t>
  </si>
  <si>
    <t>19YHBT2-7-L1:498</t>
  </si>
  <si>
    <t>19YHBT2-7-L1:1440</t>
  </si>
  <si>
    <t>19YHBT2-7-L1:2170</t>
  </si>
  <si>
    <t>19YHBT2-7-L2:1656</t>
  </si>
  <si>
    <t>19YHBT2-7-L2:2386</t>
  </si>
  <si>
    <t>19YHBT2-7-L2:2481</t>
  </si>
  <si>
    <t>19YHBT2-7-L2:2175</t>
  </si>
  <si>
    <t>19YHBT2-7-L2:1016</t>
  </si>
  <si>
    <t>19YHBT2-7-L2:898</t>
  </si>
  <si>
    <t>19YHBT2-7-L2:2346</t>
  </si>
  <si>
    <t>19YHBT2-7-L2:1935</t>
  </si>
  <si>
    <t>19YHBT2-7-L2:1650</t>
  </si>
  <si>
    <t>19YHBT2-7-L2:567</t>
  </si>
  <si>
    <t>19YHBT2-7-L2:1575</t>
  </si>
  <si>
    <t>19YHBT2-7-L2:53</t>
  </si>
  <si>
    <t>19YHBT2-7-L2:144</t>
  </si>
  <si>
    <t>19YHBT2-7-L2:214</t>
  </si>
  <si>
    <t>19YHBT2-7-L2:2031</t>
  </si>
  <si>
    <t>19YHBT2-7-L2:2591</t>
  </si>
  <si>
    <t>19YHBT2-7-L2:162</t>
  </si>
  <si>
    <t>19YHBT2-7-L2:1467</t>
  </si>
  <si>
    <t>19YHBT2-7-L2:1773</t>
  </si>
  <si>
    <t>19YHBT2-7-L2:483</t>
  </si>
  <si>
    <t>19YHBT2-7-L2:1049</t>
  </si>
  <si>
    <t>19YHBT2-7-L2:2065</t>
  </si>
  <si>
    <t>19YHBT2-7-L2:2306</t>
  </si>
  <si>
    <t>19YHBT2-7-L2:2820</t>
  </si>
  <si>
    <t>19YHBT2-7-L2:2003</t>
  </si>
  <si>
    <t>19YHBT2-7-L2:2666</t>
  </si>
  <si>
    <t>19YHBT2-7-L2:1932</t>
  </si>
  <si>
    <t>19YHBT2-7-L2:2835</t>
  </si>
  <si>
    <t>19YHBT2-7-L2:2681</t>
  </si>
  <si>
    <t>19YHBT2-7-L2:390</t>
  </si>
  <si>
    <t>19YHBT2-7-L3:604</t>
  </si>
  <si>
    <t>19YHBT2-7-L3:1222</t>
  </si>
  <si>
    <t>19YHBT2-7-L3:2176</t>
  </si>
  <si>
    <t>19YHBT2-7-L3:377</t>
  </si>
  <si>
    <t>19YHBT2-7-L3:71</t>
  </si>
  <si>
    <t>19YHBT2-7-L3:1989</t>
  </si>
  <si>
    <t>19YHBT2-7-L3:1446</t>
  </si>
  <si>
    <t>19YHBT2-7-L3:1702</t>
  </si>
  <si>
    <t>19YHBT2-7-L3:2358</t>
  </si>
  <si>
    <t>19YHBT2-7-L3:3</t>
  </si>
  <si>
    <t>19YHBT2-7-L3:255</t>
  </si>
  <si>
    <t>19YHBT2-7-L3:1972</t>
  </si>
  <si>
    <t>19YHBT2-7-L3:600</t>
  </si>
  <si>
    <t>19YHBT2-7-L3:110</t>
  </si>
  <si>
    <t>19YHBT2-7-L3:2872</t>
  </si>
  <si>
    <t>19YHBT2-7-L3:34</t>
  </si>
  <si>
    <t>19YHBT2-7-L3:983</t>
  </si>
  <si>
    <t>19YHBT2-7-L3:362</t>
  </si>
  <si>
    <t>19YHBT2-7-L3:2731</t>
  </si>
  <si>
    <t>19YHBT2-7-L3:1910</t>
  </si>
  <si>
    <t>19YHBT2-7-L3:465</t>
  </si>
  <si>
    <t>19YHBT2-7-L3:1599</t>
  </si>
  <si>
    <t>19YHBT2-7-L3:1950</t>
  </si>
  <si>
    <t>19YHBT2-7-L3:423</t>
  </si>
  <si>
    <t>19YHBT2-7-L3:556</t>
  </si>
  <si>
    <t>19YHBT2-7-L3:981</t>
  </si>
  <si>
    <t>19YHBT2-7-L3:1072</t>
  </si>
  <si>
    <t>19YHBT2-7-L3:860</t>
  </si>
  <si>
    <t>19YHBT2-7-L3:353</t>
  </si>
  <si>
    <t>19YHBT2-7-L3:662</t>
  </si>
  <si>
    <t>19YHBT2-7-L3:673</t>
  </si>
  <si>
    <t>19YHBT2-7-L3:611</t>
  </si>
  <si>
    <t>19YHBT2-8-L1:103</t>
  </si>
  <si>
    <t>19YHBT2-8-L1:207</t>
  </si>
  <si>
    <t>19YHBT2-9-L1:956</t>
  </si>
  <si>
    <t>19YHBT2-9-L1:2747</t>
  </si>
  <si>
    <t>19YHBT2-9-L1:2055</t>
  </si>
  <si>
    <t>19YHBT2-9-L1:1554</t>
  </si>
  <si>
    <t>19YHBT2-9-L1:2362</t>
  </si>
  <si>
    <t>19YHBT2-9-L1:2917</t>
  </si>
  <si>
    <t>19YHBT2-9-L1:2463</t>
  </si>
  <si>
    <t>19YHBT2-9-L1:1710</t>
  </si>
  <si>
    <t>19YHBT2-9-L1:2006</t>
  </si>
  <si>
    <t>19YHBT2-9-L1:2075</t>
  </si>
  <si>
    <t>19YHBT2-9-L1:1097</t>
  </si>
  <si>
    <t>19YHBT2-9-L1:2451</t>
  </si>
  <si>
    <t>19YHBT2-9-L1:1932</t>
  </si>
  <si>
    <t>19YHBT2-9-L1:2547</t>
  </si>
  <si>
    <t>19YHBT2-9-L1:1700</t>
  </si>
  <si>
    <t>19YHBT2-9-L1:1209</t>
  </si>
  <si>
    <t>19YHBT2-9-L1:2216</t>
  </si>
  <si>
    <t>19YHBT2-9-L1:1132</t>
  </si>
  <si>
    <t>19YHBT2-9-L1:1179</t>
  </si>
  <si>
    <t>19YHBT2-9-L1:1859</t>
  </si>
  <si>
    <t>19YHBT2-9-L1:775</t>
  </si>
  <si>
    <t>19YHBT2-9-L1:75</t>
  </si>
  <si>
    <t>19YHBT2-9-L1:2425</t>
  </si>
  <si>
    <t>19YHBT2-9-L1:1993</t>
  </si>
  <si>
    <t>19YHBT2-9-L1:290</t>
  </si>
  <si>
    <t>19YHBT2-9-L2:147</t>
  </si>
  <si>
    <t>19YHBT2-9-L2:78</t>
  </si>
  <si>
    <t>19YHBT2-9-L2:37</t>
  </si>
  <si>
    <t>19YHBT2-9-L2:369</t>
  </si>
  <si>
    <t>19YHBT2-9-L2:2698</t>
  </si>
  <si>
    <t>19YHBT2-9-L2:2091</t>
  </si>
  <si>
    <t>19YHBT2-9-L2:836</t>
  </si>
  <si>
    <t>19YHBT2-9-L2:2781</t>
  </si>
  <si>
    <t>19YHBT2-9-L2:341</t>
  </si>
  <si>
    <t>19YHBT2-9-L2:1742</t>
  </si>
  <si>
    <t>19YHBT2-9-L2:678</t>
  </si>
  <si>
    <t>19YHBT2-9-L2:445</t>
  </si>
  <si>
    <t>19YHBT2-9-L2:2721</t>
  </si>
  <si>
    <t>19YHBT2-9-L2:1575</t>
  </si>
  <si>
    <t>19YHBT2-9-L2:1163</t>
  </si>
  <si>
    <t>19YHBT2-9-L2:1886</t>
  </si>
  <si>
    <t>19YHBT2-9-L2:2001</t>
  </si>
  <si>
    <t>19YHBT2-9-L2:2848</t>
  </si>
  <si>
    <t>19YHBT2-9-L2:1648</t>
  </si>
  <si>
    <t>19YHBT2-9-L2:795</t>
  </si>
  <si>
    <t>19YHBT2-9-L2:2663</t>
  </si>
  <si>
    <t>19YHBT2-9-L2:1754</t>
  </si>
  <si>
    <t>19YHBT2-9-L2:1029</t>
  </si>
  <si>
    <t>19YHBT2-10-L1:1162</t>
  </si>
  <si>
    <t>19YHBT2-10-L1:353</t>
  </si>
  <si>
    <t>19YHBT2-10-L1:2145</t>
  </si>
  <si>
    <t>19YHBT2-10-L1:1291</t>
  </si>
  <si>
    <t>19YHBT2-10-L1:794</t>
  </si>
  <si>
    <t>19YHBT2-11-L1:1152</t>
  </si>
  <si>
    <t>19YHBT2-11-L1:1509</t>
  </si>
  <si>
    <t>19YHBT2-11-L1:2969</t>
  </si>
  <si>
    <t>19YHBT2-11-L1:2790</t>
  </si>
  <si>
    <t>19YHBT2-11-L1:1959</t>
  </si>
  <si>
    <t>19YHBT2-11-L1:2685</t>
  </si>
  <si>
    <t>19YHBT2-11-L1:2149</t>
  </si>
  <si>
    <t>19YHBT2-11-L1:1614</t>
  </si>
  <si>
    <t>19YHBT2-11-L1:2066</t>
  </si>
  <si>
    <t>19YHBT2-11-L1:2190</t>
  </si>
  <si>
    <t>19YHBT2-11-L1:1641</t>
  </si>
  <si>
    <t>19YHBT2-11-L1:1045</t>
  </si>
  <si>
    <t>19YHBT2-11-L1:1551</t>
  </si>
  <si>
    <t>19YHBT2-11-L1:2302</t>
  </si>
  <si>
    <t>19YHBT2-11-L1:2896</t>
  </si>
  <si>
    <t>19YHBT2-11-L1:2699</t>
  </si>
  <si>
    <t>19YHBT2-11-L1:1267</t>
  </si>
  <si>
    <t>19YHBT2-11-L1:324</t>
  </si>
  <si>
    <t>19YHBT2-11-L1:1124</t>
  </si>
  <si>
    <t>19YHBT2-11-L1:2766</t>
  </si>
  <si>
    <t>19YHBT2-11-L1:423</t>
  </si>
  <si>
    <t>19YHBT2-11-L1:595</t>
  </si>
  <si>
    <t>19YHBT2-11-L1:564</t>
  </si>
  <si>
    <t>19YHBT2-11-L1:1473</t>
  </si>
  <si>
    <t>19YHBT2-11-L1:2851</t>
  </si>
  <si>
    <t>19YHBT2-11-L1:201</t>
  </si>
  <si>
    <t>19YHBT2-11-L1:869</t>
  </si>
  <si>
    <t>19YHBT2-11-L1:2412</t>
  </si>
  <si>
    <t>19YHBT2-11-L1:2553</t>
  </si>
  <si>
    <t>19YHBT2-11-L2:2298</t>
  </si>
  <si>
    <t>19YHBT2-11-L2:2479</t>
  </si>
  <si>
    <t>19YHBT2-11-L2:2774</t>
  </si>
  <si>
    <t>19YHBT2-11-L2:2375</t>
  </si>
  <si>
    <t>19YHBT2-11-L2:234</t>
  </si>
  <si>
    <t>19YHBT2-11-L2:2162</t>
  </si>
  <si>
    <t>19YHBT2-11-L2:91</t>
  </si>
  <si>
    <t>19YHBT2-11-L2:2952</t>
  </si>
  <si>
    <t>19YHBT2-11-L2:2403</t>
  </si>
  <si>
    <t>19YHBT2-11-L2:492</t>
  </si>
  <si>
    <t>19YHBT2-11-L2:2620</t>
  </si>
  <si>
    <t>19YHBT2-11-L2:2834</t>
  </si>
  <si>
    <t>19YHBT2-11-L2:524</t>
  </si>
  <si>
    <t>19YHBT2-11-L2:1110</t>
  </si>
  <si>
    <t>19YHBT2-11-L2:660</t>
  </si>
  <si>
    <t>19YHBT2-11-L2:2674</t>
  </si>
  <si>
    <t>19YHBT2-11-L2:1406</t>
  </si>
  <si>
    <t>19YHBT2-11-L2:248</t>
  </si>
  <si>
    <t>19YHBT2-11-L2:2777</t>
  </si>
  <si>
    <t>19YHBT2-11-L2:2113</t>
  </si>
  <si>
    <t>19YHBT2-11-L2:2556</t>
  </si>
  <si>
    <t>19YHBT2-11-L2:2388</t>
  </si>
  <si>
    <t>19YHBT2-11-L2:1544</t>
  </si>
  <si>
    <t>19YHBT2-11-L2:355</t>
  </si>
  <si>
    <t>19YHBT2-11-L2:2877</t>
  </si>
  <si>
    <t>19YHBT2-11-L2:1231</t>
  </si>
  <si>
    <t>19YHBT2-11-L2:323</t>
  </si>
  <si>
    <t>19YHBT2-11-L2:1473</t>
  </si>
  <si>
    <t>19YHBT2-11-L2:1859</t>
  </si>
  <si>
    <t>19YHBT2-12-L1:2651</t>
  </si>
  <si>
    <t>19YHBT2-12-L1:2541</t>
  </si>
  <si>
    <t>19YHBT2-12-L1:21</t>
  </si>
  <si>
    <t>19YHBT2-12-L1:194</t>
  </si>
  <si>
    <t>19YHBT2-12-L1:1843</t>
  </si>
  <si>
    <t>19YHBT2-12-L1:610</t>
  </si>
  <si>
    <t>19YHBT2-12-L1:2030</t>
  </si>
  <si>
    <t>19YHBT2-12-L1:1658</t>
  </si>
  <si>
    <t>19YHBT2-12-L1:2184</t>
  </si>
  <si>
    <t>19YHBT2-12-L1:315</t>
  </si>
  <si>
    <t>19YHBT2-12-L1:1761</t>
  </si>
  <si>
    <t>19YHBT2-12-L1:19</t>
  </si>
  <si>
    <t>19YHBT2-12-L1:449</t>
  </si>
  <si>
    <t>19YHBT2-12-L1:129</t>
  </si>
  <si>
    <t>19YHBT2-12-L1:1540</t>
  </si>
  <si>
    <t>19YHBT2-12-L1:519</t>
  </si>
  <si>
    <t>19YHBT2-12-L1:158</t>
  </si>
  <si>
    <t>19YHBT2-12-L1:2609</t>
  </si>
  <si>
    <t>19YHBT2-12-L1:1072</t>
  </si>
  <si>
    <t>19YHBT2-12-L2:2454</t>
  </si>
  <si>
    <t>19YHBT2-12-L2:1045</t>
  </si>
  <si>
    <t>19YHBT2-12-L2:2594</t>
  </si>
  <si>
    <t>19YHBT2-12-L2:715</t>
  </si>
  <si>
    <t>19YHBT2-12-L2:2224</t>
  </si>
  <si>
    <t>19YHBT2-12-L2:2738</t>
  </si>
  <si>
    <t>19YHBT2-12-L2:360</t>
  </si>
  <si>
    <t>19YHBT2-12-L2:286</t>
  </si>
  <si>
    <t>19YHBT2-12-L2:185</t>
  </si>
  <si>
    <t>19YHBT2-12-L2:2256</t>
  </si>
  <si>
    <t>19YHBT2-12-L2:2989</t>
  </si>
  <si>
    <t>19YHBT2-12-L2:1590</t>
  </si>
  <si>
    <t>19YHBT2-12-L2:2096</t>
  </si>
  <si>
    <t>19YHBT2-12-L2:2928</t>
  </si>
  <si>
    <t>19YHBT2-12-L2:294</t>
  </si>
  <si>
    <t>19YHBT2-12-L2:731</t>
  </si>
  <si>
    <t>19YHBT2-12-L2:1973</t>
  </si>
  <si>
    <t>19YHBT2-12-L2:836</t>
  </si>
  <si>
    <t>19YHBT2-12-L3:2218</t>
  </si>
  <si>
    <t>19YHBT2-12-L3:2326</t>
  </si>
  <si>
    <t>19YHBT2-12-L3:1321</t>
  </si>
  <si>
    <t>19YHBT2-12-L3:1330</t>
  </si>
  <si>
    <t>19YHBT2-12-L3:1921</t>
  </si>
  <si>
    <t>19YHBT2-12-L3:941</t>
  </si>
  <si>
    <t>19YHBT2-12-L3:1991</t>
  </si>
  <si>
    <t>19YHBT2-12-L3:2366</t>
  </si>
  <si>
    <t>19YHBT2-12-L3:1787</t>
  </si>
  <si>
    <t>19YHBT2-12-L3:2317</t>
  </si>
  <si>
    <t>19YHBT2-12-L3:1584</t>
  </si>
  <si>
    <t>19YHBT2-12-L3:2701</t>
  </si>
  <si>
    <t>19YHBT2-12-L3:2281</t>
  </si>
  <si>
    <t>19YHBT2-12-L3:802</t>
  </si>
  <si>
    <t>19YHBT2-12-L3:1647</t>
  </si>
  <si>
    <t>19YHBT2-12-L3:2853</t>
  </si>
  <si>
    <t>19YHBT2-12-L3:395</t>
  </si>
  <si>
    <t>3</t>
  </si>
  <si>
    <t>4</t>
  </si>
  <si>
    <t>5</t>
  </si>
  <si>
    <t>6</t>
  </si>
  <si>
    <t>7</t>
  </si>
  <si>
    <t>8</t>
  </si>
  <si>
    <t>9</t>
  </si>
  <si>
    <t>10</t>
  </si>
  <si>
    <t>11</t>
  </si>
  <si>
    <t>12</t>
  </si>
  <si>
    <t>During excavation, all specimens that could be recorded with three-dimensional coordinates were numbered. 
Specimens without coordinates, which were usually heavily cemented, were numbered subsequently during laboratory work. Consequently, the order of specimen numbers does not fully correspond to the stratigraphic sequence of excavation layers.</t>
    <phoneticPr fontId="2" type="noConversion"/>
  </si>
  <si>
    <t>19YHBT2-9-L1:3537</t>
    <phoneticPr fontId="2" type="noConversion"/>
  </si>
  <si>
    <t>19YHBT2-9-L2:3538</t>
    <phoneticPr fontId="2" type="noConversion"/>
  </si>
  <si>
    <t>19YHBT2-3-L2:3549</t>
    <phoneticPr fontId="2" type="noConversion"/>
  </si>
  <si>
    <t>19YHBT2-7-L2:3550</t>
    <phoneticPr fontId="2" type="noConversion"/>
  </si>
  <si>
    <t>19YHBT2-9-L2:3551</t>
    <phoneticPr fontId="2" type="noConversion"/>
  </si>
  <si>
    <t>19YHBT2-12-L1:881</t>
    <phoneticPr fontId="2" type="noConversion"/>
  </si>
  <si>
    <t>19YHBT2-12-L1:3552</t>
    <phoneticPr fontId="2" type="noConversion"/>
  </si>
  <si>
    <t>19YHBT2-3-L2:3553</t>
    <phoneticPr fontId="2" type="noConversion"/>
  </si>
  <si>
    <t>19YHBT2-3-L2:3554</t>
    <phoneticPr fontId="2" type="noConversion"/>
  </si>
  <si>
    <t>19YHBT2-3-L2:3555</t>
    <phoneticPr fontId="2" type="noConversion"/>
  </si>
  <si>
    <t>19YHBT2-7-L2:3556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</si>
</sst>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0_);[Red]\(0.00\)"/>
    <numFmt numFmtId="177" formatCode="0.0%"/>
    <numFmt numFmtId="178" formatCode="0.0_ "/>
    <numFmt numFmtId="179" formatCode="0.0_);[Red]\(0.0\)"/>
    <numFmt numFmtId="180" formatCode="0_);[Red]\(0\)"/>
  </numFmts>
  <fonts count="7" x14ac:knownFonts="1">
    <font>
      <sz val="11"/>
      <color theme="1"/>
      <name val="等线"/>
      <family val="2"/>
      <charset val="134"/>
      <scheme val="minor"/>
    </font>
    <font>
      <b/>
      <sz val="11"/>
      <color theme="1"/>
      <name val="等线"/>
      <family val="3"/>
      <charset val="134"/>
    </font>
    <font>
      <sz val="9"/>
      <name val="等线"/>
      <family val="2"/>
      <charset val="134"/>
      <scheme val="minor"/>
    </font>
    <font>
      <sz val="9"/>
      <name val="等线"/>
      <family val="3"/>
      <charset val="134"/>
      <scheme val="minor"/>
    </font>
    <font>
      <b/>
      <sz val="11"/>
      <color theme="1"/>
      <name val="等线"/>
      <family val="3"/>
      <charset val="134"/>
      <scheme val="minor"/>
    </font>
    <font>
      <sz val="11"/>
      <color theme="1"/>
      <name val="等线"/>
      <family val="3"/>
      <charset val="134"/>
    </font>
    <font>
      <sz val="11"/>
      <color indexed="8"/>
      <name val="宋体"/>
      <family val="3"/>
      <charset val="134"/>
    </font>
  </fonts>
  <fills count="7">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alignment vertical="center"/>
    </xf>
    <xf numFmtId="0" fontId="6" fillId="0" borderId="0">
      <alignment vertical="center"/>
    </xf>
  </cellStyleXfs>
  <cellXfs count="25">
    <xf numFmtId="0" fontId="0" fillId="0" borderId="0" xfId="0">
      <alignment vertical="center"/>
    </xf>
    <xf numFmtId="49" fontId="1" fillId="2" borderId="1" xfId="0" applyNumberFormat="1" applyFont="1" applyFill="1" applyBorder="1" applyAlignment="1">
      <alignment horizontal="left" vertical="center"/>
    </xf>
    <xf numFmtId="0" fontId="1" fillId="2" borderId="1" xfId="0" applyFont="1" applyFill="1" applyBorder="1" applyAlignment="1">
      <alignment horizontal="left" vertical="center"/>
    </xf>
    <xf numFmtId="176" fontId="1" fillId="2" borderId="1" xfId="0" applyNumberFormat="1" applyFont="1" applyFill="1" applyBorder="1" applyAlignment="1">
      <alignment horizontal="left" vertical="center"/>
    </xf>
    <xf numFmtId="176" fontId="1" fillId="3" borderId="1" xfId="0" applyNumberFormat="1" applyFont="1" applyFill="1" applyBorder="1" applyAlignment="1">
      <alignment horizontal="left" vertical="center"/>
    </xf>
    <xf numFmtId="176" fontId="1" fillId="4" borderId="1" xfId="0" applyNumberFormat="1" applyFont="1" applyFill="1" applyBorder="1" applyAlignment="1">
      <alignment horizontal="left" vertical="center"/>
    </xf>
    <xf numFmtId="176" fontId="1" fillId="5" borderId="1" xfId="0" applyNumberFormat="1" applyFont="1" applyFill="1" applyBorder="1" applyAlignment="1">
      <alignment horizontal="left" vertical="center"/>
    </xf>
    <xf numFmtId="176" fontId="1" fillId="6" borderId="1" xfId="0" applyNumberFormat="1" applyFont="1" applyFill="1" applyBorder="1" applyAlignment="1">
      <alignment horizontal="left" vertical="center"/>
    </xf>
    <xf numFmtId="0" fontId="4" fillId="2" borderId="2" xfId="0" applyFont="1" applyFill="1" applyBorder="1" applyAlignment="1">
      <alignment horizontal="left" vertical="center"/>
    </xf>
    <xf numFmtId="0" fontId="0" fillId="0" borderId="0" xfId="0" applyAlignment="1">
      <alignment horizontal="left" vertical="center"/>
    </xf>
    <xf numFmtId="177" fontId="0" fillId="0" borderId="0" xfId="0" applyNumberFormat="1" applyAlignment="1">
      <alignment horizontal="left" vertical="center"/>
    </xf>
    <xf numFmtId="178" fontId="0" fillId="0" borderId="0" xfId="0" applyNumberFormat="1" applyAlignment="1">
      <alignment horizontal="left" vertical="center"/>
    </xf>
    <xf numFmtId="0" fontId="1" fillId="2" borderId="1" xfId="0" applyFont="1" applyFill="1" applyBorder="1" applyAlignment="1">
      <alignment horizontal="left" vertical="center" wrapText="1"/>
    </xf>
    <xf numFmtId="0" fontId="5" fillId="0" borderId="0" xfId="0" applyFont="1" applyAlignment="1">
      <alignment horizontal="left" vertical="center"/>
    </xf>
    <xf numFmtId="179" fontId="1" fillId="2" borderId="1" xfId="0" applyNumberFormat="1" applyFont="1" applyFill="1" applyBorder="1" applyAlignment="1">
      <alignment horizontal="left" vertical="center"/>
    </xf>
    <xf numFmtId="179" fontId="0" fillId="0" borderId="0" xfId="0" applyNumberFormat="1" applyAlignment="1">
      <alignment horizontal="left" vertical="center"/>
    </xf>
    <xf numFmtId="0" fontId="1" fillId="5" borderId="1" xfId="0" applyFont="1" applyFill="1" applyBorder="1" applyAlignment="1">
      <alignment horizontal="left" vertical="center"/>
    </xf>
    <xf numFmtId="0" fontId="1" fillId="3" borderId="1" xfId="0" applyFont="1" applyFill="1" applyBorder="1" applyAlignment="1">
      <alignment horizontal="left" vertical="center"/>
    </xf>
    <xf numFmtId="178" fontId="1" fillId="5" borderId="1" xfId="0" applyNumberFormat="1" applyFont="1" applyFill="1" applyBorder="1" applyAlignment="1">
      <alignment horizontal="left" vertical="center"/>
    </xf>
    <xf numFmtId="178" fontId="1" fillId="3" borderId="1" xfId="0" applyNumberFormat="1" applyFont="1" applyFill="1" applyBorder="1" applyAlignment="1">
      <alignment horizontal="left" vertical="center"/>
    </xf>
    <xf numFmtId="180" fontId="1" fillId="2" borderId="1" xfId="0" applyNumberFormat="1" applyFont="1" applyFill="1" applyBorder="1" applyAlignment="1">
      <alignment horizontal="left" vertical="center"/>
    </xf>
    <xf numFmtId="180" fontId="0" fillId="0" borderId="0" xfId="0" applyNumberFormat="1" applyAlignment="1">
      <alignment horizontal="left" vertical="center"/>
    </xf>
    <xf numFmtId="179" fontId="6" fillId="0" borderId="0" xfId="0" applyNumberFormat="1" applyFont="1" applyAlignment="1">
      <alignment horizontal="left" vertical="center"/>
    </xf>
    <xf numFmtId="0" fontId="4" fillId="0" borderId="0" xfId="0" applyFont="1" applyAlignment="1">
      <alignment horizontal="left" vertical="center" wrapText="1"/>
    </xf>
    <xf numFmtId="0" fontId="0" fillId="0" borderId="0" xfId="0" applyFill="1" applyAlignment="1">
      <alignment horizontal="left" vertical="center"/>
    </xf>
  </cellXfs>
  <cellStyles count="2">
    <cellStyle name="常规" xfId="0" builtinId="0"/>
    <cellStyle name="常规 5" xfId="1" xr:uid="{D831FBDC-9261-46DC-935D-1F4167A96C3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42B6A-73A2-4D3C-A7ED-E483C4646793}">
  <dimension ref="A1:AJ188"/>
  <sheetViews>
    <sheetView zoomScale="70" zoomScaleNormal="70" workbookViewId="0">
      <pane ySplit="1" topLeftCell="A8" activePane="bottomLeft" state="frozen"/>
      <selection activeCell="B1" sqref="B1"/>
      <selection pane="bottomLeft" activeCell="E37" sqref="E37"/>
    </sheetView>
  </sheetViews>
  <sheetFormatPr defaultColWidth="8.625" defaultRowHeight="15" customHeight="1" x14ac:dyDescent="0.2"/>
  <cols>
    <col min="1" max="1" width="18.625" style="9" customWidth="1"/>
    <col min="2" max="2" width="5.75" style="9" customWidth="1"/>
    <col min="3" max="3" width="6.5" style="9" customWidth="1"/>
    <col min="4" max="4" width="13.375" style="9" customWidth="1"/>
    <col min="5" max="5" width="14.625" style="9" customWidth="1"/>
    <col min="6" max="6" width="8.625" style="9"/>
    <col min="7" max="7" width="10.375" style="9" customWidth="1"/>
    <col min="8" max="8" width="8.625" style="10"/>
    <col min="9" max="10" width="8.625" style="9"/>
    <col min="11" max="11" width="9.5" style="9" customWidth="1"/>
    <col min="12" max="12" width="8.625" style="9"/>
    <col min="13" max="13" width="9.125" style="9" customWidth="1"/>
    <col min="14" max="14" width="12.75" style="9" customWidth="1"/>
    <col min="15" max="15" width="8.625" style="9"/>
    <col min="16" max="16" width="11.875" style="9" customWidth="1"/>
    <col min="17" max="17" width="9.875" style="9" customWidth="1"/>
    <col min="18" max="19" width="11.625" style="9" customWidth="1"/>
    <col min="20" max="20" width="21.5" style="9" customWidth="1"/>
    <col min="21" max="21" width="9.875" style="9" customWidth="1"/>
    <col min="22" max="22" width="12" style="9" customWidth="1"/>
    <col min="23" max="23" width="11.625" style="9" customWidth="1"/>
    <col min="24" max="24" width="21.625" style="9" customWidth="1"/>
    <col min="25" max="25" width="11.625" style="9" customWidth="1"/>
    <col min="26" max="26" width="12.25" style="9" customWidth="1"/>
    <col min="27" max="27" width="11.625" style="9" customWidth="1"/>
    <col min="28" max="28" width="21.875" style="9" customWidth="1"/>
    <col min="29" max="32" width="11.625" style="9" customWidth="1"/>
    <col min="33" max="33" width="12.375" style="15" customWidth="1"/>
    <col min="34" max="34" width="11.875" style="21" customWidth="1"/>
    <col min="35" max="35" width="21.375" style="9" customWidth="1"/>
    <col min="36" max="36" width="19.5" style="9" customWidth="1"/>
    <col min="37" max="16384" width="8.625" style="9"/>
  </cols>
  <sheetData>
    <row r="1" spans="1:36" ht="20.100000000000001" customHeight="1" x14ac:dyDescent="0.2">
      <c r="A1" s="1" t="s">
        <v>0</v>
      </c>
      <c r="B1" s="2" t="s">
        <v>1</v>
      </c>
      <c r="C1" s="2" t="s">
        <v>2</v>
      </c>
      <c r="D1" s="2" t="s">
        <v>3</v>
      </c>
      <c r="E1" s="2" t="s">
        <v>6</v>
      </c>
      <c r="F1" s="2" t="s">
        <v>7</v>
      </c>
      <c r="G1" s="8" t="s">
        <v>4</v>
      </c>
      <c r="H1" s="2" t="s">
        <v>8</v>
      </c>
      <c r="I1" s="3" t="s">
        <v>9</v>
      </c>
      <c r="J1" s="3" t="s">
        <v>10</v>
      </c>
      <c r="K1" s="3" t="s">
        <v>11</v>
      </c>
      <c r="L1" s="3" t="s">
        <v>12</v>
      </c>
      <c r="M1" s="3" t="s">
        <v>13</v>
      </c>
      <c r="N1" s="3" t="s">
        <v>14</v>
      </c>
      <c r="O1" s="3" t="s">
        <v>32</v>
      </c>
      <c r="P1" s="3" t="s">
        <v>33</v>
      </c>
      <c r="Q1" s="4" t="s">
        <v>35</v>
      </c>
      <c r="R1" s="4" t="s">
        <v>20</v>
      </c>
      <c r="S1" s="4" t="s">
        <v>21</v>
      </c>
      <c r="T1" s="4" t="s">
        <v>22</v>
      </c>
      <c r="U1" s="5" t="s">
        <v>36</v>
      </c>
      <c r="V1" s="5" t="s">
        <v>23</v>
      </c>
      <c r="W1" s="5" t="s">
        <v>24</v>
      </c>
      <c r="X1" s="5" t="s">
        <v>25</v>
      </c>
      <c r="Y1" s="6" t="s">
        <v>37</v>
      </c>
      <c r="Z1" s="6" t="s">
        <v>26</v>
      </c>
      <c r="AA1" s="6" t="s">
        <v>27</v>
      </c>
      <c r="AB1" s="6" t="s">
        <v>28</v>
      </c>
      <c r="AC1" s="7" t="s">
        <v>38</v>
      </c>
      <c r="AD1" s="7" t="s">
        <v>29</v>
      </c>
      <c r="AE1" s="7" t="s">
        <v>30</v>
      </c>
      <c r="AF1" s="7" t="s">
        <v>31</v>
      </c>
      <c r="AG1" s="14" t="s">
        <v>34</v>
      </c>
      <c r="AH1" s="20" t="s">
        <v>1122</v>
      </c>
      <c r="AI1" s="2" t="s">
        <v>18</v>
      </c>
      <c r="AJ1" s="2" t="s">
        <v>19</v>
      </c>
    </row>
    <row r="2" spans="1:36" ht="15" customHeight="1" x14ac:dyDescent="0.2">
      <c r="A2" s="9" t="s">
        <v>41</v>
      </c>
      <c r="B2" s="9">
        <v>3</v>
      </c>
      <c r="C2" s="9" t="s">
        <v>236</v>
      </c>
      <c r="D2" s="9" t="s">
        <v>257</v>
      </c>
      <c r="E2" s="9" t="s">
        <v>260</v>
      </c>
      <c r="F2" s="9" t="s">
        <v>264</v>
      </c>
      <c r="G2" s="9" t="s">
        <v>837</v>
      </c>
      <c r="H2" s="10">
        <v>0.6</v>
      </c>
      <c r="I2" s="11">
        <v>77</v>
      </c>
      <c r="J2" s="11">
        <v>58</v>
      </c>
      <c r="K2" s="11">
        <v>43</v>
      </c>
      <c r="L2" s="11">
        <v>180.4</v>
      </c>
      <c r="M2" s="9" t="s">
        <v>265</v>
      </c>
      <c r="O2" s="9" t="s">
        <v>710</v>
      </c>
      <c r="P2" s="9" t="s">
        <v>275</v>
      </c>
      <c r="Q2" s="9">
        <v>4</v>
      </c>
      <c r="R2" s="9" t="s">
        <v>701</v>
      </c>
      <c r="S2" s="9" t="s">
        <v>269</v>
      </c>
      <c r="T2" s="9" t="s">
        <v>758</v>
      </c>
      <c r="AG2" s="15">
        <v>65</v>
      </c>
      <c r="AH2" s="21">
        <v>4</v>
      </c>
      <c r="AI2" s="9" t="s">
        <v>1123</v>
      </c>
      <c r="AJ2" s="9" t="s">
        <v>767</v>
      </c>
    </row>
    <row r="3" spans="1:36" ht="15" customHeight="1" x14ac:dyDescent="0.2">
      <c r="A3" s="9" t="s">
        <v>43</v>
      </c>
      <c r="B3" s="9">
        <v>3</v>
      </c>
      <c r="C3" s="9" t="s">
        <v>236</v>
      </c>
      <c r="D3" s="9" t="s">
        <v>251</v>
      </c>
      <c r="E3" s="9" t="s">
        <v>260</v>
      </c>
      <c r="F3" s="9" t="s">
        <v>264</v>
      </c>
      <c r="G3" s="9" t="s">
        <v>287</v>
      </c>
      <c r="H3" s="10">
        <v>0.1</v>
      </c>
      <c r="I3" s="11">
        <v>82</v>
      </c>
      <c r="J3" s="11">
        <v>64</v>
      </c>
      <c r="K3" s="11">
        <v>22</v>
      </c>
      <c r="L3" s="11">
        <v>120.7</v>
      </c>
      <c r="M3" s="9" t="s">
        <v>274</v>
      </c>
      <c r="N3" s="9" t="s">
        <v>282</v>
      </c>
      <c r="O3" s="9" t="s">
        <v>266</v>
      </c>
      <c r="P3" s="9" t="s">
        <v>282</v>
      </c>
      <c r="Q3" s="9">
        <v>4</v>
      </c>
      <c r="R3" s="9" t="s">
        <v>268</v>
      </c>
      <c r="S3" s="9" t="s">
        <v>272</v>
      </c>
      <c r="T3" s="9" t="s">
        <v>270</v>
      </c>
      <c r="U3" s="9">
        <v>2</v>
      </c>
      <c r="V3" s="9" t="s">
        <v>268</v>
      </c>
      <c r="W3" s="9" t="s">
        <v>272</v>
      </c>
      <c r="X3" s="9" t="s">
        <v>270</v>
      </c>
      <c r="AG3" s="15">
        <v>83</v>
      </c>
      <c r="AH3" s="21">
        <v>6</v>
      </c>
      <c r="AI3" s="9" t="s">
        <v>1125</v>
      </c>
      <c r="AJ3" s="9" t="s">
        <v>1135</v>
      </c>
    </row>
    <row r="4" spans="1:36" ht="15" customHeight="1" x14ac:dyDescent="0.2">
      <c r="A4" s="9" t="s">
        <v>44</v>
      </c>
      <c r="B4" s="9">
        <v>3</v>
      </c>
      <c r="C4" s="9" t="s">
        <v>236</v>
      </c>
      <c r="D4" s="9" t="s">
        <v>257</v>
      </c>
      <c r="E4" s="9" t="s">
        <v>708</v>
      </c>
      <c r="F4" s="9" t="s">
        <v>264</v>
      </c>
      <c r="G4" s="9" t="s">
        <v>1113</v>
      </c>
      <c r="H4" s="10">
        <v>0.2</v>
      </c>
      <c r="I4" s="11">
        <v>62</v>
      </c>
      <c r="J4" s="11">
        <v>52</v>
      </c>
      <c r="K4" s="11">
        <v>27</v>
      </c>
      <c r="L4" s="11">
        <v>88</v>
      </c>
      <c r="M4" s="9" t="s">
        <v>698</v>
      </c>
      <c r="N4" s="9" t="s">
        <v>699</v>
      </c>
      <c r="O4" s="9" t="s">
        <v>266</v>
      </c>
      <c r="P4" s="9" t="s">
        <v>282</v>
      </c>
      <c r="Q4" s="9">
        <v>2</v>
      </c>
      <c r="R4" s="9" t="s">
        <v>268</v>
      </c>
      <c r="S4" s="9" t="s">
        <v>269</v>
      </c>
      <c r="T4" s="9" t="s">
        <v>270</v>
      </c>
      <c r="U4" s="9">
        <v>2</v>
      </c>
      <c r="V4" s="9" t="s">
        <v>701</v>
      </c>
      <c r="W4" s="9" t="s">
        <v>269</v>
      </c>
      <c r="X4" s="9" t="s">
        <v>270</v>
      </c>
      <c r="Y4" s="9">
        <v>1</v>
      </c>
      <c r="Z4" s="9" t="s">
        <v>268</v>
      </c>
      <c r="AA4" s="9" t="s">
        <v>272</v>
      </c>
      <c r="AB4" s="9" t="s">
        <v>270</v>
      </c>
      <c r="AG4" s="15">
        <v>83</v>
      </c>
      <c r="AH4" s="21">
        <v>5</v>
      </c>
      <c r="AI4" s="9" t="s">
        <v>1130</v>
      </c>
      <c r="AJ4" s="9" t="s">
        <v>766</v>
      </c>
    </row>
    <row r="5" spans="1:36" ht="15" customHeight="1" x14ac:dyDescent="0.2">
      <c r="A5" s="9" t="s">
        <v>45</v>
      </c>
      <c r="B5" s="9">
        <v>3</v>
      </c>
      <c r="C5" s="9" t="s">
        <v>236</v>
      </c>
      <c r="D5" s="9" t="s">
        <v>257</v>
      </c>
      <c r="E5" s="9" t="s">
        <v>708</v>
      </c>
      <c r="F5" s="9" t="s">
        <v>264</v>
      </c>
      <c r="G5" s="9" t="s">
        <v>1114</v>
      </c>
      <c r="H5" s="10">
        <v>0.4</v>
      </c>
      <c r="I5" s="11">
        <v>56</v>
      </c>
      <c r="J5" s="11">
        <v>48</v>
      </c>
      <c r="K5" s="11">
        <v>31</v>
      </c>
      <c r="L5" s="11">
        <v>88.5</v>
      </c>
      <c r="M5" s="9" t="s">
        <v>265</v>
      </c>
      <c r="O5" s="9" t="s">
        <v>710</v>
      </c>
      <c r="P5" s="9" t="s">
        <v>275</v>
      </c>
      <c r="Q5" s="9">
        <v>8</v>
      </c>
      <c r="R5" s="9" t="s">
        <v>701</v>
      </c>
      <c r="S5" s="9" t="s">
        <v>269</v>
      </c>
      <c r="T5" s="9" t="s">
        <v>758</v>
      </c>
      <c r="AG5" s="15">
        <v>56</v>
      </c>
      <c r="AH5" s="21">
        <v>8</v>
      </c>
      <c r="AI5" s="9" t="s">
        <v>1123</v>
      </c>
      <c r="AJ5" s="9" t="s">
        <v>1137</v>
      </c>
    </row>
    <row r="6" spans="1:36" ht="15" customHeight="1" x14ac:dyDescent="0.2">
      <c r="A6" s="9" t="s">
        <v>46</v>
      </c>
      <c r="B6" s="9">
        <v>3</v>
      </c>
      <c r="C6" s="9" t="s">
        <v>236</v>
      </c>
      <c r="D6" s="9" t="s">
        <v>253</v>
      </c>
      <c r="E6" s="9" t="s">
        <v>260</v>
      </c>
      <c r="F6" s="9" t="s">
        <v>264</v>
      </c>
      <c r="G6" s="9" t="s">
        <v>1113</v>
      </c>
      <c r="H6" s="10">
        <v>0.3</v>
      </c>
      <c r="I6" s="11">
        <v>91</v>
      </c>
      <c r="J6" s="11">
        <v>58</v>
      </c>
      <c r="K6" s="11">
        <v>31</v>
      </c>
      <c r="L6" s="11">
        <v>210.2</v>
      </c>
      <c r="M6" s="9" t="s">
        <v>274</v>
      </c>
      <c r="N6" s="9" t="s">
        <v>279</v>
      </c>
      <c r="O6" s="9" t="s">
        <v>267</v>
      </c>
      <c r="Q6" s="9">
        <v>3</v>
      </c>
      <c r="R6" s="9" t="s">
        <v>268</v>
      </c>
      <c r="S6" s="9" t="s">
        <v>272</v>
      </c>
      <c r="T6" s="9" t="s">
        <v>270</v>
      </c>
      <c r="U6" s="9">
        <v>3</v>
      </c>
      <c r="V6" s="9" t="s">
        <v>268</v>
      </c>
      <c r="W6" s="9" t="s">
        <v>272</v>
      </c>
      <c r="X6" s="9" t="s">
        <v>270</v>
      </c>
      <c r="AG6" s="15">
        <v>73</v>
      </c>
      <c r="AH6" s="21">
        <v>6</v>
      </c>
      <c r="AI6" s="9" t="s">
        <v>1120</v>
      </c>
      <c r="AJ6" s="9" t="s">
        <v>1138</v>
      </c>
    </row>
    <row r="7" spans="1:36" ht="15" customHeight="1" x14ac:dyDescent="0.2">
      <c r="A7" s="9" t="s">
        <v>47</v>
      </c>
      <c r="B7" s="9">
        <v>3</v>
      </c>
      <c r="C7" s="9" t="s">
        <v>236</v>
      </c>
      <c r="D7" s="9" t="s">
        <v>251</v>
      </c>
      <c r="E7" s="9" t="s">
        <v>261</v>
      </c>
      <c r="F7" s="9" t="s">
        <v>264</v>
      </c>
      <c r="G7" s="9" t="s">
        <v>1114</v>
      </c>
      <c r="H7" s="10">
        <v>0.3</v>
      </c>
      <c r="I7" s="11">
        <v>68</v>
      </c>
      <c r="J7" s="11">
        <v>48</v>
      </c>
      <c r="K7" s="11">
        <v>44</v>
      </c>
      <c r="L7" s="11">
        <v>161.4</v>
      </c>
      <c r="M7" s="9" t="s">
        <v>274</v>
      </c>
      <c r="N7" s="9" t="s">
        <v>279</v>
      </c>
      <c r="O7" s="9" t="s">
        <v>700</v>
      </c>
      <c r="P7" s="9" t="s">
        <v>699</v>
      </c>
      <c r="Q7" s="9">
        <v>3</v>
      </c>
      <c r="R7" s="9" t="s">
        <v>701</v>
      </c>
      <c r="S7" s="9" t="s">
        <v>269</v>
      </c>
      <c r="T7" s="9" t="s">
        <v>709</v>
      </c>
      <c r="U7" s="9">
        <v>2</v>
      </c>
      <c r="V7" s="9" t="s">
        <v>268</v>
      </c>
      <c r="W7" s="9" t="s">
        <v>272</v>
      </c>
      <c r="X7" s="9" t="s">
        <v>270</v>
      </c>
      <c r="AG7" s="15">
        <v>80</v>
      </c>
      <c r="AH7" s="21">
        <v>5</v>
      </c>
      <c r="AI7" s="9" t="s">
        <v>1126</v>
      </c>
      <c r="AJ7" s="9" t="s">
        <v>1135</v>
      </c>
    </row>
    <row r="8" spans="1:36" ht="15" customHeight="1" x14ac:dyDescent="0.2">
      <c r="A8" s="9" t="s">
        <v>49</v>
      </c>
      <c r="B8" s="9">
        <v>3</v>
      </c>
      <c r="C8" s="9" t="s">
        <v>236</v>
      </c>
      <c r="D8" s="9" t="s">
        <v>257</v>
      </c>
      <c r="E8" s="9" t="s">
        <v>263</v>
      </c>
      <c r="F8" s="9" t="s">
        <v>264</v>
      </c>
      <c r="G8" s="9" t="s">
        <v>1114</v>
      </c>
      <c r="H8" s="10">
        <v>0.3</v>
      </c>
      <c r="I8" s="11">
        <v>54</v>
      </c>
      <c r="J8" s="11">
        <v>44</v>
      </c>
      <c r="K8" s="11">
        <v>42</v>
      </c>
      <c r="L8" s="11">
        <v>99.7</v>
      </c>
      <c r="M8" s="9" t="s">
        <v>727</v>
      </c>
      <c r="N8" s="9" t="s">
        <v>728</v>
      </c>
      <c r="O8" s="9" t="s">
        <v>700</v>
      </c>
      <c r="P8" s="9" t="s">
        <v>699</v>
      </c>
      <c r="Q8" s="9">
        <v>1</v>
      </c>
      <c r="R8" s="9" t="s">
        <v>701</v>
      </c>
      <c r="S8" s="9" t="s">
        <v>269</v>
      </c>
      <c r="T8" s="9" t="s">
        <v>270</v>
      </c>
      <c r="U8" s="9">
        <v>1</v>
      </c>
      <c r="V8" s="9" t="s">
        <v>701</v>
      </c>
      <c r="W8" s="9" t="s">
        <v>269</v>
      </c>
      <c r="X8" s="9" t="s">
        <v>270</v>
      </c>
      <c r="Y8" s="9">
        <v>1</v>
      </c>
      <c r="Z8" s="9" t="s">
        <v>268</v>
      </c>
      <c r="AA8" s="9" t="s">
        <v>272</v>
      </c>
      <c r="AB8" s="9" t="s">
        <v>270</v>
      </c>
      <c r="AC8" s="9">
        <v>1</v>
      </c>
      <c r="AD8" s="9" t="s">
        <v>268</v>
      </c>
      <c r="AE8" s="9" t="s">
        <v>272</v>
      </c>
      <c r="AF8" s="9" t="s">
        <v>270</v>
      </c>
      <c r="AG8" s="15">
        <v>73</v>
      </c>
      <c r="AH8" s="21">
        <v>4</v>
      </c>
      <c r="AI8" s="9" t="s">
        <v>1127</v>
      </c>
      <c r="AJ8" s="9" t="s">
        <v>766</v>
      </c>
    </row>
    <row r="9" spans="1:36" ht="15" customHeight="1" x14ac:dyDescent="0.2">
      <c r="A9" s="9" t="s">
        <v>50</v>
      </c>
      <c r="B9" s="9">
        <v>3</v>
      </c>
      <c r="C9" s="9" t="s">
        <v>236</v>
      </c>
      <c r="D9" s="9" t="s">
        <v>257</v>
      </c>
      <c r="E9" s="9" t="s">
        <v>263</v>
      </c>
      <c r="F9" s="9" t="s">
        <v>264</v>
      </c>
      <c r="G9" s="9" t="s">
        <v>1114</v>
      </c>
      <c r="H9" s="10">
        <v>0.6</v>
      </c>
      <c r="I9" s="11">
        <v>67</v>
      </c>
      <c r="J9" s="11">
        <v>60</v>
      </c>
      <c r="K9" s="11">
        <v>43</v>
      </c>
      <c r="L9" s="11">
        <v>212.7</v>
      </c>
      <c r="M9" s="9" t="s">
        <v>265</v>
      </c>
      <c r="O9" s="9" t="s">
        <v>710</v>
      </c>
      <c r="P9" s="9" t="s">
        <v>275</v>
      </c>
      <c r="Q9" s="9">
        <v>4</v>
      </c>
      <c r="R9" s="9" t="s">
        <v>701</v>
      </c>
      <c r="S9" s="9" t="s">
        <v>269</v>
      </c>
      <c r="T9" s="9" t="s">
        <v>758</v>
      </c>
      <c r="AG9" s="15">
        <v>89</v>
      </c>
      <c r="AH9" s="21">
        <v>4</v>
      </c>
      <c r="AI9" s="9" t="s">
        <v>1123</v>
      </c>
      <c r="AJ9" s="9" t="s">
        <v>767</v>
      </c>
    </row>
    <row r="10" spans="1:36" ht="15" customHeight="1" x14ac:dyDescent="0.2">
      <c r="A10" s="9" t="s">
        <v>52</v>
      </c>
      <c r="B10" s="9">
        <v>3</v>
      </c>
      <c r="C10" s="9" t="s">
        <v>236</v>
      </c>
      <c r="D10" s="9" t="s">
        <v>257</v>
      </c>
      <c r="E10" s="9" t="s">
        <v>261</v>
      </c>
      <c r="F10" s="9" t="s">
        <v>264</v>
      </c>
      <c r="G10" s="9" t="s">
        <v>1114</v>
      </c>
      <c r="H10" s="10">
        <v>0.65</v>
      </c>
      <c r="I10" s="11">
        <v>72</v>
      </c>
      <c r="J10" s="11">
        <v>66</v>
      </c>
      <c r="K10" s="11">
        <v>46</v>
      </c>
      <c r="L10" s="11">
        <v>305.3</v>
      </c>
      <c r="M10" s="9" t="s">
        <v>274</v>
      </c>
      <c r="N10" s="9" t="s">
        <v>279</v>
      </c>
      <c r="O10" s="9" t="s">
        <v>266</v>
      </c>
      <c r="P10" s="9" t="s">
        <v>279</v>
      </c>
      <c r="Q10" s="9">
        <v>2</v>
      </c>
      <c r="R10" s="9" t="s">
        <v>268</v>
      </c>
      <c r="S10" s="9" t="s">
        <v>272</v>
      </c>
      <c r="T10" s="9" t="s">
        <v>270</v>
      </c>
      <c r="U10" s="9">
        <v>1</v>
      </c>
      <c r="V10" s="9" t="s">
        <v>701</v>
      </c>
      <c r="W10" s="9" t="s">
        <v>269</v>
      </c>
      <c r="X10" s="9" t="s">
        <v>270</v>
      </c>
      <c r="AG10" s="15">
        <v>87</v>
      </c>
      <c r="AH10" s="21">
        <v>3</v>
      </c>
      <c r="AI10" s="9" t="s">
        <v>1125</v>
      </c>
      <c r="AJ10" s="9" t="s">
        <v>1135</v>
      </c>
    </row>
    <row r="11" spans="1:36" ht="15" customHeight="1" x14ac:dyDescent="0.2">
      <c r="A11" s="9" t="s">
        <v>53</v>
      </c>
      <c r="B11" s="9">
        <v>3</v>
      </c>
      <c r="C11" s="9" t="s">
        <v>236</v>
      </c>
      <c r="D11" s="9" t="s">
        <v>254</v>
      </c>
      <c r="E11" s="9" t="s">
        <v>262</v>
      </c>
      <c r="F11" s="9" t="s">
        <v>264</v>
      </c>
      <c r="G11" s="9" t="s">
        <v>1113</v>
      </c>
      <c r="H11" s="10">
        <v>0</v>
      </c>
      <c r="I11" s="11">
        <v>63</v>
      </c>
      <c r="J11" s="11">
        <v>38</v>
      </c>
      <c r="K11" s="11">
        <v>19</v>
      </c>
      <c r="L11" s="11">
        <v>45.8</v>
      </c>
      <c r="M11" s="9" t="s">
        <v>265</v>
      </c>
      <c r="O11" s="9" t="s">
        <v>267</v>
      </c>
      <c r="Q11" s="9">
        <v>1</v>
      </c>
      <c r="R11" s="9" t="s">
        <v>268</v>
      </c>
      <c r="S11" s="9" t="s">
        <v>272</v>
      </c>
      <c r="T11" s="9" t="s">
        <v>270</v>
      </c>
      <c r="AG11" s="15">
        <v>57</v>
      </c>
      <c r="AH11" s="21">
        <v>1</v>
      </c>
      <c r="AI11" s="9" t="s">
        <v>1121</v>
      </c>
      <c r="AJ11" s="9" t="s">
        <v>1134</v>
      </c>
    </row>
    <row r="12" spans="1:36" ht="15" customHeight="1" x14ac:dyDescent="0.2">
      <c r="A12" s="9" t="s">
        <v>55</v>
      </c>
      <c r="B12" s="9">
        <v>3</v>
      </c>
      <c r="C12" s="9" t="s">
        <v>236</v>
      </c>
      <c r="D12" s="9" t="s">
        <v>251</v>
      </c>
      <c r="E12" s="9" t="s">
        <v>261</v>
      </c>
      <c r="F12" s="9" t="s">
        <v>264</v>
      </c>
      <c r="G12" s="9" t="s">
        <v>1114</v>
      </c>
      <c r="H12" s="10">
        <v>0.4</v>
      </c>
      <c r="I12" s="11">
        <v>48</v>
      </c>
      <c r="J12" s="11">
        <v>53</v>
      </c>
      <c r="K12" s="11">
        <v>27</v>
      </c>
      <c r="L12" s="11">
        <v>72.599999999999994</v>
      </c>
      <c r="M12" s="9" t="s">
        <v>265</v>
      </c>
      <c r="O12" s="9" t="s">
        <v>710</v>
      </c>
      <c r="P12" s="9" t="s">
        <v>275</v>
      </c>
      <c r="Q12" s="9">
        <v>3</v>
      </c>
      <c r="R12" s="9" t="s">
        <v>701</v>
      </c>
      <c r="S12" s="9" t="s">
        <v>269</v>
      </c>
      <c r="T12" s="9" t="s">
        <v>729</v>
      </c>
      <c r="AG12" s="15">
        <v>71</v>
      </c>
      <c r="AH12" s="21">
        <v>3</v>
      </c>
      <c r="AI12" s="9" t="s">
        <v>1123</v>
      </c>
      <c r="AJ12" s="9" t="s">
        <v>767</v>
      </c>
    </row>
    <row r="13" spans="1:36" ht="15" customHeight="1" x14ac:dyDescent="0.2">
      <c r="A13" s="9" t="s">
        <v>73</v>
      </c>
      <c r="B13" s="9">
        <v>3</v>
      </c>
      <c r="C13" s="9" t="s">
        <v>236</v>
      </c>
      <c r="D13" s="9" t="s">
        <v>253</v>
      </c>
      <c r="E13" s="9" t="s">
        <v>261</v>
      </c>
      <c r="F13" s="9" t="s">
        <v>264</v>
      </c>
      <c r="G13" s="9" t="s">
        <v>1114</v>
      </c>
      <c r="H13" s="10">
        <v>0.5</v>
      </c>
      <c r="I13" s="11">
        <v>74</v>
      </c>
      <c r="J13" s="11">
        <v>52</v>
      </c>
      <c r="K13" s="11">
        <v>47</v>
      </c>
      <c r="L13" s="11">
        <v>232.3</v>
      </c>
      <c r="M13" s="9" t="s">
        <v>274</v>
      </c>
      <c r="N13" s="9" t="s">
        <v>279</v>
      </c>
      <c r="O13" s="9" t="s">
        <v>266</v>
      </c>
      <c r="P13" s="9" t="s">
        <v>279</v>
      </c>
      <c r="Q13" s="9">
        <v>4</v>
      </c>
      <c r="R13" s="9" t="s">
        <v>268</v>
      </c>
      <c r="S13" s="9" t="s">
        <v>272</v>
      </c>
      <c r="T13" s="9" t="s">
        <v>270</v>
      </c>
      <c r="U13" s="9">
        <v>3</v>
      </c>
      <c r="V13" s="9" t="s">
        <v>268</v>
      </c>
      <c r="W13" s="9" t="s">
        <v>272</v>
      </c>
      <c r="X13" s="9" t="s">
        <v>270</v>
      </c>
      <c r="AG13" s="15">
        <v>89</v>
      </c>
      <c r="AH13" s="21">
        <v>7</v>
      </c>
      <c r="AI13" s="9" t="s">
        <v>1125</v>
      </c>
      <c r="AJ13" s="9" t="s">
        <v>1135</v>
      </c>
    </row>
    <row r="14" spans="1:36" ht="15" customHeight="1" x14ac:dyDescent="0.2">
      <c r="A14" s="9" t="s">
        <v>774</v>
      </c>
      <c r="B14" s="9">
        <v>3</v>
      </c>
      <c r="C14" s="9" t="s">
        <v>236</v>
      </c>
      <c r="D14" s="9" t="s">
        <v>251</v>
      </c>
      <c r="E14" s="9" t="s">
        <v>262</v>
      </c>
      <c r="F14" s="9" t="s">
        <v>264</v>
      </c>
      <c r="G14" s="9" t="s">
        <v>1113</v>
      </c>
      <c r="H14" s="10">
        <v>0.4</v>
      </c>
      <c r="I14" s="11">
        <v>67</v>
      </c>
      <c r="J14" s="11">
        <v>52</v>
      </c>
      <c r="K14" s="11">
        <v>43</v>
      </c>
      <c r="L14" s="11">
        <v>130</v>
      </c>
      <c r="M14" s="9" t="s">
        <v>265</v>
      </c>
      <c r="O14" s="9" t="s">
        <v>267</v>
      </c>
      <c r="Q14" s="9">
        <v>1</v>
      </c>
      <c r="R14" s="9" t="s">
        <v>701</v>
      </c>
      <c r="S14" s="9" t="s">
        <v>269</v>
      </c>
      <c r="T14" s="9" t="s">
        <v>270</v>
      </c>
      <c r="AG14" s="15">
        <v>57</v>
      </c>
      <c r="AH14" s="21">
        <v>1</v>
      </c>
      <c r="AI14" s="9" t="s">
        <v>1121</v>
      </c>
      <c r="AJ14" s="9" t="s">
        <v>1134</v>
      </c>
    </row>
    <row r="15" spans="1:36" ht="15" customHeight="1" x14ac:dyDescent="0.2">
      <c r="A15" s="9" t="s">
        <v>220</v>
      </c>
      <c r="B15" s="9">
        <v>3</v>
      </c>
      <c r="C15" s="9" t="s">
        <v>236</v>
      </c>
      <c r="D15" s="9" t="s">
        <v>251</v>
      </c>
      <c r="E15" s="9" t="s">
        <v>261</v>
      </c>
      <c r="F15" s="9" t="s">
        <v>264</v>
      </c>
      <c r="G15" s="9" t="s">
        <v>1113</v>
      </c>
      <c r="H15" s="10">
        <v>0.3</v>
      </c>
      <c r="I15" s="11">
        <v>64</v>
      </c>
      <c r="J15" s="11">
        <v>42</v>
      </c>
      <c r="K15" s="11">
        <v>36</v>
      </c>
      <c r="L15" s="11">
        <v>83</v>
      </c>
      <c r="M15" s="9" t="s">
        <v>727</v>
      </c>
      <c r="N15" s="9" t="s">
        <v>699</v>
      </c>
      <c r="O15" s="9" t="s">
        <v>267</v>
      </c>
      <c r="P15" s="9" t="s">
        <v>275</v>
      </c>
      <c r="Q15" s="9">
        <v>3</v>
      </c>
      <c r="R15" s="9" t="s">
        <v>268</v>
      </c>
      <c r="S15" s="9" t="s">
        <v>272</v>
      </c>
      <c r="T15" s="9" t="s">
        <v>270</v>
      </c>
      <c r="U15" s="9">
        <v>3</v>
      </c>
      <c r="V15" s="9" t="s">
        <v>268</v>
      </c>
      <c r="W15" s="9" t="s">
        <v>272</v>
      </c>
      <c r="X15" s="9" t="s">
        <v>270</v>
      </c>
      <c r="Y15" s="9">
        <v>2</v>
      </c>
      <c r="Z15" s="9" t="s">
        <v>268</v>
      </c>
      <c r="AA15" s="9" t="s">
        <v>272</v>
      </c>
      <c r="AB15" s="9" t="s">
        <v>270</v>
      </c>
      <c r="AC15" s="9">
        <v>2</v>
      </c>
      <c r="AD15" s="9" t="s">
        <v>268</v>
      </c>
      <c r="AE15" s="9" t="s">
        <v>272</v>
      </c>
      <c r="AF15" s="9" t="s">
        <v>270</v>
      </c>
      <c r="AG15" s="15">
        <v>80</v>
      </c>
      <c r="AH15" s="21">
        <v>10</v>
      </c>
      <c r="AI15" s="9" t="s">
        <v>1120</v>
      </c>
      <c r="AJ15" s="9" t="s">
        <v>1138</v>
      </c>
    </row>
    <row r="16" spans="1:36" ht="15" customHeight="1" x14ac:dyDescent="0.2">
      <c r="A16" s="9" t="s">
        <v>222</v>
      </c>
      <c r="B16" s="9">
        <v>3</v>
      </c>
      <c r="C16" s="9" t="s">
        <v>236</v>
      </c>
      <c r="D16" s="9" t="s">
        <v>251</v>
      </c>
      <c r="E16" s="9" t="s">
        <v>260</v>
      </c>
      <c r="F16" s="9" t="s">
        <v>264</v>
      </c>
      <c r="G16" s="9" t="s">
        <v>1111</v>
      </c>
      <c r="H16" s="10">
        <v>0.7</v>
      </c>
      <c r="I16" s="11">
        <v>59</v>
      </c>
      <c r="J16" s="11">
        <v>36</v>
      </c>
      <c r="K16" s="11">
        <v>28</v>
      </c>
      <c r="L16" s="11">
        <v>79</v>
      </c>
      <c r="M16" s="9" t="s">
        <v>265</v>
      </c>
      <c r="O16" s="9" t="s">
        <v>266</v>
      </c>
      <c r="P16" s="9" t="s">
        <v>282</v>
      </c>
      <c r="Q16" s="9">
        <v>4</v>
      </c>
      <c r="R16" s="9" t="s">
        <v>268</v>
      </c>
      <c r="S16" s="9" t="s">
        <v>269</v>
      </c>
      <c r="T16" s="9" t="s">
        <v>278</v>
      </c>
      <c r="AG16" s="15">
        <v>75</v>
      </c>
      <c r="AH16" s="21">
        <v>4</v>
      </c>
      <c r="AI16" s="9" t="s">
        <v>1124</v>
      </c>
      <c r="AJ16" s="9" t="s">
        <v>1139</v>
      </c>
    </row>
    <row r="17" spans="1:36" ht="15" customHeight="1" x14ac:dyDescent="0.2">
      <c r="A17" s="9" t="s">
        <v>223</v>
      </c>
      <c r="B17" s="9">
        <v>3</v>
      </c>
      <c r="C17" s="9" t="s">
        <v>236</v>
      </c>
      <c r="D17" s="9" t="s">
        <v>251</v>
      </c>
      <c r="E17" s="9" t="s">
        <v>262</v>
      </c>
      <c r="F17" s="9" t="s">
        <v>264</v>
      </c>
      <c r="G17" s="9" t="s">
        <v>1110</v>
      </c>
      <c r="H17" s="10">
        <v>0.45</v>
      </c>
      <c r="I17" s="11">
        <v>84</v>
      </c>
      <c r="J17" s="11">
        <v>73</v>
      </c>
      <c r="K17" s="11">
        <v>30</v>
      </c>
      <c r="L17" s="11">
        <v>191.9</v>
      </c>
      <c r="M17" s="9" t="s">
        <v>274</v>
      </c>
      <c r="N17" s="9" t="s">
        <v>279</v>
      </c>
      <c r="O17" s="9" t="s">
        <v>710</v>
      </c>
      <c r="P17" s="9" t="s">
        <v>699</v>
      </c>
      <c r="Q17" s="9">
        <v>4</v>
      </c>
      <c r="R17" s="9" t="s">
        <v>701</v>
      </c>
      <c r="S17" s="9" t="s">
        <v>269</v>
      </c>
      <c r="T17" s="9" t="s">
        <v>729</v>
      </c>
      <c r="U17" s="9">
        <v>3</v>
      </c>
      <c r="V17" s="9" t="s">
        <v>268</v>
      </c>
      <c r="W17" s="9" t="s">
        <v>272</v>
      </c>
      <c r="X17" s="9" t="s">
        <v>270</v>
      </c>
      <c r="AG17" s="15">
        <v>73</v>
      </c>
      <c r="AH17" s="21">
        <v>7</v>
      </c>
      <c r="AI17" s="9" t="s">
        <v>1126</v>
      </c>
      <c r="AJ17" s="9" t="s">
        <v>1135</v>
      </c>
    </row>
    <row r="18" spans="1:36" ht="15" customHeight="1" x14ac:dyDescent="0.2">
      <c r="A18" s="9" t="s">
        <v>224</v>
      </c>
      <c r="B18" s="9">
        <v>3</v>
      </c>
      <c r="C18" s="9" t="s">
        <v>236</v>
      </c>
      <c r="D18" s="9" t="s">
        <v>251</v>
      </c>
      <c r="E18" s="9" t="s">
        <v>260</v>
      </c>
      <c r="F18" s="9" t="s">
        <v>264</v>
      </c>
      <c r="G18" s="9" t="s">
        <v>1113</v>
      </c>
      <c r="H18" s="10">
        <v>0.2</v>
      </c>
      <c r="I18" s="11">
        <v>54</v>
      </c>
      <c r="J18" s="11">
        <v>41</v>
      </c>
      <c r="K18" s="11">
        <v>37</v>
      </c>
      <c r="L18" s="11">
        <v>100.8</v>
      </c>
      <c r="M18" s="9" t="s">
        <v>727</v>
      </c>
      <c r="N18" s="9" t="s">
        <v>728</v>
      </c>
      <c r="O18" s="9" t="s">
        <v>710</v>
      </c>
      <c r="P18" s="9" t="s">
        <v>699</v>
      </c>
      <c r="Q18" s="9">
        <v>1</v>
      </c>
      <c r="R18" s="9" t="s">
        <v>268</v>
      </c>
      <c r="S18" s="9" t="s">
        <v>272</v>
      </c>
      <c r="T18" s="9" t="s">
        <v>270</v>
      </c>
      <c r="U18" s="9">
        <v>1</v>
      </c>
      <c r="V18" s="9" t="s">
        <v>268</v>
      </c>
      <c r="W18" s="9" t="s">
        <v>272</v>
      </c>
      <c r="X18" s="9" t="s">
        <v>270</v>
      </c>
      <c r="Y18" s="9">
        <v>2</v>
      </c>
      <c r="Z18" s="9" t="s">
        <v>701</v>
      </c>
      <c r="AA18" s="9" t="s">
        <v>269</v>
      </c>
      <c r="AB18" s="9" t="s">
        <v>709</v>
      </c>
      <c r="AC18" s="9">
        <v>2</v>
      </c>
      <c r="AD18" s="9" t="s">
        <v>268</v>
      </c>
      <c r="AE18" s="9" t="s">
        <v>272</v>
      </c>
      <c r="AF18" s="9" t="s">
        <v>270</v>
      </c>
      <c r="AG18" s="15">
        <v>82</v>
      </c>
      <c r="AH18" s="21">
        <v>6</v>
      </c>
      <c r="AI18" s="9" t="s">
        <v>1127</v>
      </c>
      <c r="AJ18" s="9" t="s">
        <v>766</v>
      </c>
    </row>
    <row r="19" spans="1:36" ht="15" customHeight="1" x14ac:dyDescent="0.2">
      <c r="A19" s="9" t="s">
        <v>225</v>
      </c>
      <c r="B19" s="9">
        <v>3</v>
      </c>
      <c r="C19" s="9" t="s">
        <v>236</v>
      </c>
      <c r="D19" s="9" t="s">
        <v>251</v>
      </c>
      <c r="E19" s="9" t="s">
        <v>261</v>
      </c>
      <c r="F19" s="9" t="s">
        <v>264</v>
      </c>
      <c r="G19" s="9" t="s">
        <v>1113</v>
      </c>
      <c r="H19" s="10">
        <v>0.4</v>
      </c>
      <c r="I19" s="11">
        <v>48</v>
      </c>
      <c r="J19" s="11">
        <v>45</v>
      </c>
      <c r="K19" s="11">
        <v>27</v>
      </c>
      <c r="L19" s="11">
        <v>59.3</v>
      </c>
      <c r="M19" s="9" t="s">
        <v>265</v>
      </c>
      <c r="O19" s="9" t="s">
        <v>267</v>
      </c>
      <c r="Q19" s="9">
        <v>2</v>
      </c>
      <c r="R19" s="9" t="s">
        <v>268</v>
      </c>
      <c r="S19" s="9" t="s">
        <v>272</v>
      </c>
      <c r="T19" s="9" t="s">
        <v>270</v>
      </c>
      <c r="AG19" s="15">
        <v>68</v>
      </c>
      <c r="AH19" s="21">
        <v>2</v>
      </c>
      <c r="AI19" s="9" t="s">
        <v>1120</v>
      </c>
      <c r="AJ19" s="9" t="s">
        <v>1138</v>
      </c>
    </row>
    <row r="20" spans="1:36" ht="15" customHeight="1" x14ac:dyDescent="0.2">
      <c r="A20" s="9" t="s">
        <v>746</v>
      </c>
      <c r="B20" s="9">
        <v>3</v>
      </c>
      <c r="C20" s="9" t="s">
        <v>236</v>
      </c>
      <c r="D20" s="9" t="s">
        <v>251</v>
      </c>
      <c r="E20" s="9" t="s">
        <v>260</v>
      </c>
      <c r="F20" s="9" t="s">
        <v>264</v>
      </c>
      <c r="G20" s="9" t="s">
        <v>1114</v>
      </c>
      <c r="H20" s="10">
        <v>0.35</v>
      </c>
      <c r="I20" s="9">
        <v>66</v>
      </c>
      <c r="J20" s="9">
        <v>52</v>
      </c>
      <c r="K20" s="9">
        <v>30</v>
      </c>
      <c r="L20" s="9">
        <v>111</v>
      </c>
      <c r="M20" s="9" t="s">
        <v>274</v>
      </c>
      <c r="N20" s="9" t="s">
        <v>279</v>
      </c>
      <c r="O20" s="9" t="s">
        <v>266</v>
      </c>
      <c r="P20" s="9" t="s">
        <v>279</v>
      </c>
      <c r="Q20" s="9">
        <v>5</v>
      </c>
      <c r="R20" s="9" t="s">
        <v>701</v>
      </c>
      <c r="S20" s="9" t="s">
        <v>269</v>
      </c>
      <c r="T20" s="9" t="s">
        <v>270</v>
      </c>
      <c r="U20" s="9">
        <v>4</v>
      </c>
      <c r="V20" s="9" t="s">
        <v>701</v>
      </c>
      <c r="W20" s="9" t="s">
        <v>269</v>
      </c>
      <c r="X20" s="9" t="s">
        <v>270</v>
      </c>
      <c r="AG20" s="15">
        <v>53</v>
      </c>
      <c r="AH20" s="21">
        <v>9</v>
      </c>
      <c r="AI20" s="9" t="s">
        <v>1125</v>
      </c>
      <c r="AJ20" s="9" t="s">
        <v>1135</v>
      </c>
    </row>
    <row r="21" spans="1:36" ht="15" customHeight="1" x14ac:dyDescent="0.2">
      <c r="A21" s="9" t="s">
        <v>1097</v>
      </c>
      <c r="B21" s="9">
        <v>3</v>
      </c>
      <c r="C21" s="9" t="s">
        <v>236</v>
      </c>
      <c r="D21" s="9" t="s">
        <v>251</v>
      </c>
      <c r="E21" s="9" t="s">
        <v>260</v>
      </c>
      <c r="F21" s="9" t="s">
        <v>264</v>
      </c>
      <c r="G21" s="9" t="s">
        <v>1114</v>
      </c>
      <c r="H21" s="10">
        <v>0.65</v>
      </c>
      <c r="I21" s="9">
        <v>69</v>
      </c>
      <c r="J21" s="9">
        <v>47</v>
      </c>
      <c r="K21" s="9">
        <v>31</v>
      </c>
      <c r="L21" s="9">
        <v>120.3</v>
      </c>
      <c r="M21" s="9" t="s">
        <v>698</v>
      </c>
      <c r="N21" s="9" t="s">
        <v>699</v>
      </c>
      <c r="O21" s="9" t="s">
        <v>710</v>
      </c>
      <c r="P21" s="9" t="s">
        <v>699</v>
      </c>
      <c r="Q21" s="9">
        <v>3</v>
      </c>
      <c r="R21" s="9" t="s">
        <v>268</v>
      </c>
      <c r="S21" s="9" t="s">
        <v>272</v>
      </c>
      <c r="T21" s="9" t="s">
        <v>270</v>
      </c>
      <c r="U21" s="9">
        <v>1</v>
      </c>
      <c r="V21" s="9" t="s">
        <v>268</v>
      </c>
      <c r="W21" s="9" t="s">
        <v>272</v>
      </c>
      <c r="X21" s="9" t="s">
        <v>270</v>
      </c>
      <c r="Y21" s="9">
        <v>3</v>
      </c>
      <c r="Z21" s="9" t="s">
        <v>701</v>
      </c>
      <c r="AA21" s="9" t="s">
        <v>269</v>
      </c>
      <c r="AB21" s="9" t="s">
        <v>729</v>
      </c>
      <c r="AG21" s="15">
        <v>62</v>
      </c>
      <c r="AH21" s="21">
        <v>7</v>
      </c>
      <c r="AI21" s="9" t="s">
        <v>1127</v>
      </c>
      <c r="AJ21" s="9" t="s">
        <v>766</v>
      </c>
    </row>
    <row r="22" spans="1:36" ht="15" customHeight="1" x14ac:dyDescent="0.2">
      <c r="A22" s="9" t="s">
        <v>754</v>
      </c>
      <c r="B22" s="9">
        <v>3</v>
      </c>
      <c r="C22" s="9" t="s">
        <v>236</v>
      </c>
      <c r="D22" s="9" t="s">
        <v>251</v>
      </c>
      <c r="E22" s="9" t="s">
        <v>261</v>
      </c>
      <c r="F22" s="9" t="s">
        <v>264</v>
      </c>
      <c r="G22" s="9" t="s">
        <v>1110</v>
      </c>
      <c r="H22" s="10">
        <v>0.15</v>
      </c>
      <c r="I22" s="9">
        <v>76</v>
      </c>
      <c r="J22" s="9">
        <v>66</v>
      </c>
      <c r="K22" s="9">
        <v>25</v>
      </c>
      <c r="L22" s="9">
        <v>102.8</v>
      </c>
      <c r="M22" s="9" t="s">
        <v>274</v>
      </c>
      <c r="N22" s="9" t="s">
        <v>279</v>
      </c>
      <c r="O22" s="9" t="s">
        <v>266</v>
      </c>
      <c r="P22" s="9" t="s">
        <v>279</v>
      </c>
      <c r="Q22" s="9">
        <v>2</v>
      </c>
      <c r="R22" s="9" t="s">
        <v>268</v>
      </c>
      <c r="S22" s="9" t="s">
        <v>272</v>
      </c>
      <c r="T22" s="9" t="s">
        <v>270</v>
      </c>
      <c r="U22" s="9">
        <v>4</v>
      </c>
      <c r="V22" s="9" t="s">
        <v>268</v>
      </c>
      <c r="W22" s="9" t="s">
        <v>272</v>
      </c>
      <c r="X22" s="9" t="s">
        <v>270</v>
      </c>
      <c r="AG22" s="15">
        <v>63</v>
      </c>
      <c r="AH22" s="21">
        <v>6</v>
      </c>
      <c r="AI22" s="9" t="s">
        <v>1125</v>
      </c>
      <c r="AJ22" s="9" t="s">
        <v>1136</v>
      </c>
    </row>
    <row r="23" spans="1:36" ht="15" customHeight="1" x14ac:dyDescent="0.2">
      <c r="A23" s="9" t="s">
        <v>755</v>
      </c>
      <c r="B23" s="9">
        <v>3</v>
      </c>
      <c r="C23" s="9" t="s">
        <v>236</v>
      </c>
      <c r="D23" s="9" t="s">
        <v>251</v>
      </c>
      <c r="E23" s="9" t="s">
        <v>260</v>
      </c>
      <c r="F23" s="9" t="s">
        <v>264</v>
      </c>
      <c r="G23" s="9" t="s">
        <v>1114</v>
      </c>
      <c r="H23" s="10">
        <v>0.5</v>
      </c>
      <c r="I23" s="9">
        <v>54</v>
      </c>
      <c r="J23" s="9">
        <v>43</v>
      </c>
      <c r="K23" s="9">
        <v>34</v>
      </c>
      <c r="L23" s="9">
        <v>85.2</v>
      </c>
      <c r="M23" s="9" t="s">
        <v>274</v>
      </c>
      <c r="N23" s="9" t="s">
        <v>279</v>
      </c>
      <c r="O23" s="9" t="s">
        <v>267</v>
      </c>
      <c r="Q23" s="9">
        <v>5</v>
      </c>
      <c r="R23" s="9" t="s">
        <v>268</v>
      </c>
      <c r="S23" s="9" t="s">
        <v>272</v>
      </c>
      <c r="T23" s="9" t="s">
        <v>270</v>
      </c>
      <c r="U23" s="9">
        <v>3</v>
      </c>
      <c r="V23" s="9" t="s">
        <v>268</v>
      </c>
      <c r="W23" s="9" t="s">
        <v>272</v>
      </c>
      <c r="X23" s="9" t="s">
        <v>270</v>
      </c>
      <c r="AG23" s="15">
        <v>56</v>
      </c>
      <c r="AH23" s="21">
        <v>8</v>
      </c>
      <c r="AI23" s="9" t="s">
        <v>1120</v>
      </c>
      <c r="AJ23" s="9" t="s">
        <v>1138</v>
      </c>
    </row>
    <row r="24" spans="1:36" ht="15" customHeight="1" x14ac:dyDescent="0.2">
      <c r="A24" s="9" t="s">
        <v>771</v>
      </c>
      <c r="B24" s="9">
        <v>3</v>
      </c>
      <c r="C24" s="9" t="s">
        <v>236</v>
      </c>
      <c r="D24" s="9" t="s">
        <v>251</v>
      </c>
      <c r="E24" s="9" t="s">
        <v>760</v>
      </c>
      <c r="F24" s="9" t="s">
        <v>264</v>
      </c>
      <c r="G24" s="9" t="s">
        <v>1114</v>
      </c>
      <c r="H24" s="10">
        <v>0.55000000000000004</v>
      </c>
      <c r="I24" s="9">
        <v>71</v>
      </c>
      <c r="J24" s="9">
        <v>51</v>
      </c>
      <c r="K24" s="9">
        <v>30</v>
      </c>
      <c r="L24" s="9">
        <v>151.1</v>
      </c>
      <c r="M24" s="9" t="s">
        <v>265</v>
      </c>
      <c r="O24" s="9" t="s">
        <v>710</v>
      </c>
      <c r="P24" s="9" t="s">
        <v>275</v>
      </c>
      <c r="Q24" s="9">
        <v>5</v>
      </c>
      <c r="R24" s="9" t="s">
        <v>701</v>
      </c>
      <c r="S24" s="9" t="s">
        <v>269</v>
      </c>
      <c r="T24" s="9" t="s">
        <v>758</v>
      </c>
      <c r="AG24" s="15">
        <v>56</v>
      </c>
      <c r="AH24" s="21">
        <v>5</v>
      </c>
      <c r="AI24" s="9" t="s">
        <v>1123</v>
      </c>
      <c r="AJ24" s="9" t="s">
        <v>767</v>
      </c>
    </row>
    <row r="25" spans="1:36" ht="15" customHeight="1" x14ac:dyDescent="0.2">
      <c r="A25" s="9" t="s">
        <v>56</v>
      </c>
      <c r="B25" s="9">
        <v>4</v>
      </c>
      <c r="C25" s="9" t="s">
        <v>237</v>
      </c>
      <c r="D25" s="9" t="s">
        <v>251</v>
      </c>
      <c r="E25" s="9" t="s">
        <v>261</v>
      </c>
      <c r="F25" s="9" t="s">
        <v>264</v>
      </c>
      <c r="G25" s="9" t="s">
        <v>1110</v>
      </c>
      <c r="H25" s="10">
        <v>0.55000000000000004</v>
      </c>
      <c r="I25" s="11">
        <v>70</v>
      </c>
      <c r="J25" s="11">
        <v>62</v>
      </c>
      <c r="K25" s="11">
        <v>36</v>
      </c>
      <c r="L25" s="11">
        <v>230.2</v>
      </c>
      <c r="M25" s="9" t="s">
        <v>265</v>
      </c>
      <c r="O25" s="9" t="s">
        <v>267</v>
      </c>
      <c r="Q25" s="9">
        <v>4</v>
      </c>
      <c r="R25" s="9" t="s">
        <v>268</v>
      </c>
      <c r="S25" s="9" t="s">
        <v>272</v>
      </c>
      <c r="T25" s="9" t="s">
        <v>270</v>
      </c>
      <c r="AG25" s="15">
        <v>73</v>
      </c>
      <c r="AH25" s="21">
        <v>4</v>
      </c>
      <c r="AI25" s="9" t="s">
        <v>1120</v>
      </c>
      <c r="AJ25" s="9" t="s">
        <v>1136</v>
      </c>
    </row>
    <row r="26" spans="1:36" ht="15" customHeight="1" x14ac:dyDescent="0.2">
      <c r="A26" s="9" t="s">
        <v>57</v>
      </c>
      <c r="B26" s="9">
        <v>4</v>
      </c>
      <c r="C26" s="9" t="s">
        <v>237</v>
      </c>
      <c r="D26" s="9" t="s">
        <v>257</v>
      </c>
      <c r="E26" s="9" t="s">
        <v>261</v>
      </c>
      <c r="F26" s="9" t="s">
        <v>264</v>
      </c>
      <c r="G26" s="9" t="s">
        <v>1114</v>
      </c>
      <c r="H26" s="10">
        <v>0.55000000000000004</v>
      </c>
      <c r="I26" s="11">
        <v>60</v>
      </c>
      <c r="J26" s="11">
        <v>50</v>
      </c>
      <c r="K26" s="11">
        <v>40</v>
      </c>
      <c r="L26" s="11">
        <v>161.80000000000001</v>
      </c>
      <c r="M26" s="9" t="s">
        <v>265</v>
      </c>
      <c r="O26" s="9" t="s">
        <v>266</v>
      </c>
      <c r="P26" s="9" t="s">
        <v>279</v>
      </c>
      <c r="Q26" s="9">
        <v>4</v>
      </c>
      <c r="R26" s="9" t="s">
        <v>268</v>
      </c>
      <c r="S26" s="9" t="s">
        <v>272</v>
      </c>
      <c r="T26" s="9" t="s">
        <v>709</v>
      </c>
      <c r="AG26" s="15">
        <v>88</v>
      </c>
      <c r="AH26" s="21">
        <v>4</v>
      </c>
      <c r="AI26" s="9" t="s">
        <v>1128</v>
      </c>
      <c r="AJ26" s="9" t="s">
        <v>1138</v>
      </c>
    </row>
    <row r="27" spans="1:36" ht="15" customHeight="1" x14ac:dyDescent="0.2">
      <c r="A27" s="9" t="s">
        <v>58</v>
      </c>
      <c r="B27" s="9">
        <v>4</v>
      </c>
      <c r="C27" s="9" t="s">
        <v>237</v>
      </c>
      <c r="D27" s="9" t="s">
        <v>251</v>
      </c>
      <c r="E27" s="9" t="s">
        <v>260</v>
      </c>
      <c r="F27" s="9" t="s">
        <v>264</v>
      </c>
      <c r="G27" s="9" t="s">
        <v>1114</v>
      </c>
      <c r="H27" s="10">
        <v>0.25</v>
      </c>
      <c r="I27" s="11">
        <v>50</v>
      </c>
      <c r="J27" s="11">
        <v>41</v>
      </c>
      <c r="K27" s="11">
        <v>41</v>
      </c>
      <c r="L27" s="11">
        <v>107.8</v>
      </c>
      <c r="M27" s="9" t="s">
        <v>727</v>
      </c>
      <c r="N27" s="9" t="s">
        <v>699</v>
      </c>
      <c r="O27" s="9" t="s">
        <v>700</v>
      </c>
      <c r="P27" s="9" t="s">
        <v>699</v>
      </c>
      <c r="Q27" s="9">
        <v>4</v>
      </c>
      <c r="R27" s="9" t="s">
        <v>268</v>
      </c>
      <c r="S27" s="9" t="s">
        <v>269</v>
      </c>
      <c r="T27" s="9" t="s">
        <v>278</v>
      </c>
      <c r="U27" s="9">
        <v>2</v>
      </c>
      <c r="V27" s="9" t="s">
        <v>701</v>
      </c>
      <c r="W27" s="9" t="s">
        <v>269</v>
      </c>
      <c r="X27" s="9" t="s">
        <v>270</v>
      </c>
      <c r="Y27" s="9">
        <v>1</v>
      </c>
      <c r="Z27" s="9" t="s">
        <v>701</v>
      </c>
      <c r="AA27" s="9" t="s">
        <v>269</v>
      </c>
      <c r="AB27" s="9" t="s">
        <v>270</v>
      </c>
      <c r="AG27" s="15">
        <v>89</v>
      </c>
      <c r="AH27" s="21">
        <v>7</v>
      </c>
      <c r="AI27" s="9" t="s">
        <v>1127</v>
      </c>
      <c r="AJ27" s="9" t="s">
        <v>766</v>
      </c>
    </row>
    <row r="28" spans="1:36" ht="15" customHeight="1" x14ac:dyDescent="0.2">
      <c r="A28" s="9" t="s">
        <v>60</v>
      </c>
      <c r="B28" s="9">
        <v>4</v>
      </c>
      <c r="C28" s="9" t="s">
        <v>237</v>
      </c>
      <c r="D28" s="9" t="s">
        <v>257</v>
      </c>
      <c r="E28" s="9" t="s">
        <v>262</v>
      </c>
      <c r="F28" s="9" t="s">
        <v>264</v>
      </c>
      <c r="G28" s="9" t="s">
        <v>1114</v>
      </c>
      <c r="H28" s="10">
        <v>0.4</v>
      </c>
      <c r="I28" s="11">
        <v>88</v>
      </c>
      <c r="J28" s="11">
        <v>70</v>
      </c>
      <c r="K28" s="11">
        <v>61</v>
      </c>
      <c r="L28" s="11">
        <v>479.8</v>
      </c>
      <c r="M28" s="9" t="s">
        <v>727</v>
      </c>
      <c r="N28" s="9" t="s">
        <v>728</v>
      </c>
      <c r="O28" s="9" t="s">
        <v>710</v>
      </c>
      <c r="P28" s="9" t="s">
        <v>699</v>
      </c>
      <c r="Q28" s="9">
        <v>2</v>
      </c>
      <c r="R28" s="9" t="s">
        <v>701</v>
      </c>
      <c r="S28" s="9" t="s">
        <v>269</v>
      </c>
      <c r="T28" s="9" t="s">
        <v>278</v>
      </c>
      <c r="U28" s="9">
        <v>3</v>
      </c>
      <c r="V28" s="9" t="s">
        <v>268</v>
      </c>
      <c r="W28" s="9" t="s">
        <v>272</v>
      </c>
      <c r="X28" s="9" t="s">
        <v>270</v>
      </c>
      <c r="Y28" s="9">
        <v>3</v>
      </c>
      <c r="Z28" s="9" t="s">
        <v>268</v>
      </c>
      <c r="AA28" s="9" t="s">
        <v>272</v>
      </c>
      <c r="AB28" s="9" t="s">
        <v>270</v>
      </c>
      <c r="AC28" s="9">
        <v>3</v>
      </c>
      <c r="AD28" s="9" t="s">
        <v>701</v>
      </c>
      <c r="AE28" s="9" t="s">
        <v>269</v>
      </c>
      <c r="AF28" s="9" t="s">
        <v>270</v>
      </c>
      <c r="AG28" s="15">
        <v>83</v>
      </c>
      <c r="AH28" s="21">
        <v>11</v>
      </c>
      <c r="AI28" s="9" t="s">
        <v>1127</v>
      </c>
      <c r="AJ28" s="9" t="s">
        <v>766</v>
      </c>
    </row>
    <row r="29" spans="1:36" ht="15" customHeight="1" x14ac:dyDescent="0.2">
      <c r="A29" s="9" t="s">
        <v>172</v>
      </c>
      <c r="B29" s="9">
        <v>4</v>
      </c>
      <c r="C29" s="9" t="s">
        <v>237</v>
      </c>
      <c r="D29" s="9" t="s">
        <v>254</v>
      </c>
      <c r="E29" s="9" t="s">
        <v>262</v>
      </c>
      <c r="F29" s="9" t="s">
        <v>264</v>
      </c>
      <c r="G29" s="9" t="s">
        <v>1114</v>
      </c>
      <c r="H29" s="10">
        <v>0.55000000000000004</v>
      </c>
      <c r="I29" s="11">
        <v>78</v>
      </c>
      <c r="J29" s="11">
        <v>68</v>
      </c>
      <c r="K29" s="11">
        <v>65</v>
      </c>
      <c r="L29" s="11">
        <v>517.9</v>
      </c>
      <c r="M29" s="9" t="s">
        <v>274</v>
      </c>
      <c r="N29" s="9" t="s">
        <v>279</v>
      </c>
      <c r="O29" s="9" t="s">
        <v>266</v>
      </c>
      <c r="P29" s="9" t="s">
        <v>279</v>
      </c>
      <c r="Q29" s="9">
        <v>1</v>
      </c>
      <c r="R29" s="9" t="s">
        <v>701</v>
      </c>
      <c r="S29" s="9" t="s">
        <v>269</v>
      </c>
      <c r="T29" s="9" t="s">
        <v>270</v>
      </c>
      <c r="U29" s="9">
        <v>1</v>
      </c>
      <c r="V29" s="9" t="s">
        <v>268</v>
      </c>
      <c r="W29" s="9" t="s">
        <v>272</v>
      </c>
      <c r="X29" s="9" t="s">
        <v>270</v>
      </c>
      <c r="AG29" s="15">
        <v>92</v>
      </c>
      <c r="AH29" s="21">
        <v>2</v>
      </c>
      <c r="AI29" s="9" t="s">
        <v>1125</v>
      </c>
      <c r="AJ29" s="9" t="s">
        <v>1135</v>
      </c>
    </row>
    <row r="30" spans="1:36" ht="15" customHeight="1" x14ac:dyDescent="0.2">
      <c r="A30" s="9" t="s">
        <v>181</v>
      </c>
      <c r="B30" s="9">
        <v>4</v>
      </c>
      <c r="C30" s="9" t="s">
        <v>250</v>
      </c>
      <c r="D30" s="9" t="s">
        <v>1147</v>
      </c>
      <c r="E30" s="9" t="s">
        <v>260</v>
      </c>
      <c r="F30" s="9" t="s">
        <v>264</v>
      </c>
      <c r="G30" s="9" t="s">
        <v>1113</v>
      </c>
      <c r="H30" s="10">
        <v>0.3</v>
      </c>
      <c r="I30" s="11">
        <v>65</v>
      </c>
      <c r="J30" s="11">
        <v>48</v>
      </c>
      <c r="K30" s="11">
        <v>27</v>
      </c>
      <c r="L30" s="11">
        <v>106.9</v>
      </c>
      <c r="M30" s="9" t="s">
        <v>274</v>
      </c>
      <c r="N30" s="9" t="s">
        <v>279</v>
      </c>
      <c r="O30" s="9" t="s">
        <v>266</v>
      </c>
      <c r="P30" s="9" t="s">
        <v>279</v>
      </c>
      <c r="Q30" s="9">
        <v>3</v>
      </c>
      <c r="R30" s="9" t="s">
        <v>701</v>
      </c>
      <c r="S30" s="9" t="s">
        <v>269</v>
      </c>
      <c r="T30" s="9" t="s">
        <v>270</v>
      </c>
      <c r="U30" s="9">
        <v>1</v>
      </c>
      <c r="V30" s="9" t="s">
        <v>268</v>
      </c>
      <c r="W30" s="9" t="s">
        <v>272</v>
      </c>
      <c r="X30" s="9" t="s">
        <v>270</v>
      </c>
      <c r="AG30" s="15">
        <v>83</v>
      </c>
      <c r="AH30" s="21">
        <v>4</v>
      </c>
      <c r="AI30" s="9" t="s">
        <v>1125</v>
      </c>
      <c r="AJ30" s="9" t="s">
        <v>1135</v>
      </c>
    </row>
    <row r="31" spans="1:36" ht="15" customHeight="1" x14ac:dyDescent="0.2">
      <c r="A31" s="9" t="s">
        <v>61</v>
      </c>
      <c r="B31" s="9">
        <v>6</v>
      </c>
      <c r="C31" s="9" t="s">
        <v>238</v>
      </c>
      <c r="D31" s="9" t="s">
        <v>251</v>
      </c>
      <c r="E31" s="9" t="s">
        <v>260</v>
      </c>
      <c r="F31" s="9" t="s">
        <v>264</v>
      </c>
      <c r="G31" s="9" t="s">
        <v>1114</v>
      </c>
      <c r="H31" s="10">
        <v>0.5</v>
      </c>
      <c r="I31" s="11">
        <v>70</v>
      </c>
      <c r="J31" s="11">
        <v>64</v>
      </c>
      <c r="K31" s="11">
        <v>49</v>
      </c>
      <c r="L31" s="11">
        <v>363.2</v>
      </c>
      <c r="M31" s="9" t="s">
        <v>274</v>
      </c>
      <c r="N31" s="9" t="s">
        <v>279</v>
      </c>
      <c r="O31" s="9" t="s">
        <v>266</v>
      </c>
      <c r="P31" s="9" t="s">
        <v>279</v>
      </c>
      <c r="Q31" s="9">
        <v>2</v>
      </c>
      <c r="R31" s="9" t="s">
        <v>268</v>
      </c>
      <c r="S31" s="9" t="s">
        <v>269</v>
      </c>
      <c r="T31" s="9" t="s">
        <v>270</v>
      </c>
      <c r="U31" s="9">
        <v>3</v>
      </c>
      <c r="V31" s="9" t="s">
        <v>701</v>
      </c>
      <c r="W31" s="9" t="s">
        <v>269</v>
      </c>
      <c r="X31" s="9" t="s">
        <v>709</v>
      </c>
      <c r="AG31" s="15">
        <v>87</v>
      </c>
      <c r="AH31" s="21">
        <v>5</v>
      </c>
      <c r="AI31" s="9" t="s">
        <v>1125</v>
      </c>
      <c r="AJ31" s="9" t="s">
        <v>1135</v>
      </c>
    </row>
    <row r="32" spans="1:36" ht="15" customHeight="1" x14ac:dyDescent="0.2">
      <c r="A32" s="9" t="s">
        <v>63</v>
      </c>
      <c r="B32" s="9">
        <v>6</v>
      </c>
      <c r="C32" s="9" t="s">
        <v>238</v>
      </c>
      <c r="D32" s="9" t="s">
        <v>255</v>
      </c>
      <c r="E32" s="9" t="s">
        <v>261</v>
      </c>
      <c r="F32" s="9" t="s">
        <v>264</v>
      </c>
      <c r="G32" s="9" t="s">
        <v>1110</v>
      </c>
      <c r="H32" s="10">
        <v>0.3</v>
      </c>
      <c r="I32" s="11">
        <v>60</v>
      </c>
      <c r="J32" s="11">
        <v>57</v>
      </c>
      <c r="K32" s="11">
        <v>41</v>
      </c>
      <c r="L32" s="11">
        <v>127.5</v>
      </c>
      <c r="M32" s="9" t="s">
        <v>274</v>
      </c>
      <c r="N32" s="9" t="s">
        <v>282</v>
      </c>
      <c r="O32" s="9" t="s">
        <v>710</v>
      </c>
      <c r="P32" s="9" t="s">
        <v>275</v>
      </c>
      <c r="Q32" s="9">
        <v>5</v>
      </c>
      <c r="R32" s="9" t="s">
        <v>701</v>
      </c>
      <c r="S32" s="9" t="s">
        <v>269</v>
      </c>
      <c r="T32" s="9" t="s">
        <v>758</v>
      </c>
      <c r="U32" s="9">
        <v>3</v>
      </c>
      <c r="V32" s="9" t="s">
        <v>701</v>
      </c>
      <c r="W32" s="9" t="s">
        <v>269</v>
      </c>
      <c r="X32" s="9" t="s">
        <v>709</v>
      </c>
      <c r="AG32" s="15">
        <v>81</v>
      </c>
      <c r="AH32" s="21">
        <v>8</v>
      </c>
      <c r="AI32" s="9" t="s">
        <v>1141</v>
      </c>
      <c r="AJ32" s="9" t="s">
        <v>1137</v>
      </c>
    </row>
    <row r="33" spans="1:36" ht="15" customHeight="1" x14ac:dyDescent="0.2">
      <c r="A33" s="9" t="s">
        <v>866</v>
      </c>
      <c r="B33" s="9">
        <v>6</v>
      </c>
      <c r="C33" s="9" t="s">
        <v>238</v>
      </c>
      <c r="D33" s="9" t="s">
        <v>251</v>
      </c>
      <c r="E33" s="9" t="s">
        <v>260</v>
      </c>
      <c r="F33" s="9" t="s">
        <v>264</v>
      </c>
      <c r="G33" s="9" t="s">
        <v>1110</v>
      </c>
      <c r="H33" s="10">
        <v>0.25</v>
      </c>
      <c r="I33" s="15">
        <v>54</v>
      </c>
      <c r="J33" s="15">
        <v>65</v>
      </c>
      <c r="K33" s="15">
        <v>13</v>
      </c>
      <c r="L33" s="15">
        <v>47.2</v>
      </c>
      <c r="M33" s="9" t="s">
        <v>265</v>
      </c>
      <c r="O33" s="9" t="s">
        <v>267</v>
      </c>
      <c r="Q33" s="9">
        <v>1</v>
      </c>
      <c r="R33" s="9" t="s">
        <v>701</v>
      </c>
      <c r="S33" s="9" t="s">
        <v>269</v>
      </c>
      <c r="T33" s="9" t="s">
        <v>270</v>
      </c>
      <c r="AG33" s="15">
        <v>82</v>
      </c>
      <c r="AH33" s="21">
        <v>1</v>
      </c>
      <c r="AI33" s="9" t="s">
        <v>1121</v>
      </c>
      <c r="AJ33" s="9" t="s">
        <v>1136</v>
      </c>
    </row>
    <row r="34" spans="1:36" ht="15" customHeight="1" x14ac:dyDescent="0.2">
      <c r="A34" s="9" t="s">
        <v>64</v>
      </c>
      <c r="B34" s="9">
        <v>7</v>
      </c>
      <c r="C34" s="9" t="s">
        <v>239</v>
      </c>
      <c r="D34" s="9" t="s">
        <v>251</v>
      </c>
      <c r="E34" s="9" t="s">
        <v>261</v>
      </c>
      <c r="F34" s="9" t="s">
        <v>264</v>
      </c>
      <c r="G34" s="9" t="s">
        <v>1114</v>
      </c>
      <c r="H34" s="10">
        <v>0.55000000000000004</v>
      </c>
      <c r="I34" s="11">
        <v>85</v>
      </c>
      <c r="J34" s="11">
        <v>72</v>
      </c>
      <c r="K34" s="11">
        <v>43</v>
      </c>
      <c r="L34" s="11">
        <v>434.5</v>
      </c>
      <c r="M34" s="9" t="s">
        <v>265</v>
      </c>
      <c r="O34" s="9" t="s">
        <v>267</v>
      </c>
      <c r="Q34" s="9">
        <v>8</v>
      </c>
      <c r="R34" s="9" t="s">
        <v>268</v>
      </c>
      <c r="S34" s="9" t="s">
        <v>272</v>
      </c>
      <c r="T34" s="9" t="s">
        <v>270</v>
      </c>
      <c r="AG34" s="15">
        <v>87</v>
      </c>
      <c r="AH34" s="21">
        <v>8</v>
      </c>
      <c r="AI34" s="9" t="s">
        <v>1120</v>
      </c>
      <c r="AJ34" s="9" t="s">
        <v>1138</v>
      </c>
    </row>
    <row r="35" spans="1:36" ht="15" customHeight="1" x14ac:dyDescent="0.2">
      <c r="A35" s="9" t="s">
        <v>66</v>
      </c>
      <c r="B35" s="9">
        <v>7</v>
      </c>
      <c r="C35" s="9" t="s">
        <v>239</v>
      </c>
      <c r="D35" s="9" t="s">
        <v>254</v>
      </c>
      <c r="E35" s="9" t="s">
        <v>261</v>
      </c>
      <c r="F35" s="9" t="s">
        <v>264</v>
      </c>
      <c r="G35" s="9" t="s">
        <v>1114</v>
      </c>
      <c r="H35" s="10">
        <v>0.6</v>
      </c>
      <c r="I35" s="11">
        <v>94</v>
      </c>
      <c r="J35" s="11">
        <v>90</v>
      </c>
      <c r="K35" s="11">
        <v>50</v>
      </c>
      <c r="L35" s="11">
        <v>507</v>
      </c>
      <c r="M35" s="9" t="s">
        <v>265</v>
      </c>
      <c r="O35" s="9" t="s">
        <v>267</v>
      </c>
      <c r="Q35" s="9">
        <v>2</v>
      </c>
      <c r="R35" s="9" t="s">
        <v>268</v>
      </c>
      <c r="S35" s="9" t="s">
        <v>272</v>
      </c>
      <c r="T35" s="9" t="s">
        <v>270</v>
      </c>
      <c r="AG35" s="15">
        <v>83</v>
      </c>
      <c r="AH35" s="21">
        <v>2</v>
      </c>
      <c r="AI35" s="9" t="s">
        <v>1120</v>
      </c>
      <c r="AJ35" s="9" t="s">
        <v>1138</v>
      </c>
    </row>
    <row r="36" spans="1:36" ht="15" customHeight="1" x14ac:dyDescent="0.2">
      <c r="A36" s="9" t="s">
        <v>67</v>
      </c>
      <c r="B36" s="9">
        <v>7</v>
      </c>
      <c r="C36" s="9" t="s">
        <v>239</v>
      </c>
      <c r="D36" s="9" t="s">
        <v>258</v>
      </c>
      <c r="E36" s="9" t="s">
        <v>261</v>
      </c>
      <c r="F36" s="9" t="s">
        <v>264</v>
      </c>
      <c r="G36" s="9" t="s">
        <v>1114</v>
      </c>
      <c r="H36" s="10">
        <v>0.6</v>
      </c>
      <c r="I36" s="11">
        <v>59</v>
      </c>
      <c r="J36" s="11">
        <v>50</v>
      </c>
      <c r="K36" s="11">
        <v>36</v>
      </c>
      <c r="L36" s="11">
        <v>139.19999999999999</v>
      </c>
      <c r="M36" s="9" t="s">
        <v>274</v>
      </c>
      <c r="N36" s="9" t="s">
        <v>279</v>
      </c>
      <c r="O36" s="9" t="s">
        <v>266</v>
      </c>
      <c r="P36" s="9" t="s">
        <v>279</v>
      </c>
      <c r="Q36" s="9">
        <v>3</v>
      </c>
      <c r="R36" s="9" t="s">
        <v>268</v>
      </c>
      <c r="S36" s="9" t="s">
        <v>272</v>
      </c>
      <c r="T36" s="9" t="s">
        <v>270</v>
      </c>
      <c r="U36" s="9">
        <v>1</v>
      </c>
      <c r="V36" s="9" t="s">
        <v>701</v>
      </c>
      <c r="W36" s="9" t="s">
        <v>269</v>
      </c>
      <c r="X36" s="9" t="s">
        <v>270</v>
      </c>
      <c r="AG36" s="15">
        <v>79</v>
      </c>
      <c r="AH36" s="21">
        <v>4</v>
      </c>
      <c r="AI36" s="9" t="s">
        <v>1125</v>
      </c>
      <c r="AJ36" s="9" t="s">
        <v>1135</v>
      </c>
    </row>
    <row r="37" spans="1:36" ht="15" customHeight="1" x14ac:dyDescent="0.2">
      <c r="A37" s="9" t="s">
        <v>68</v>
      </c>
      <c r="B37" s="9">
        <v>7</v>
      </c>
      <c r="C37" s="9" t="s">
        <v>239</v>
      </c>
      <c r="D37" s="9" t="s">
        <v>251</v>
      </c>
      <c r="E37" s="9" t="s">
        <v>260</v>
      </c>
      <c r="F37" s="9" t="s">
        <v>264</v>
      </c>
      <c r="G37" s="9" t="s">
        <v>1114</v>
      </c>
      <c r="H37" s="10">
        <v>0.6</v>
      </c>
      <c r="I37" s="11">
        <v>73</v>
      </c>
      <c r="J37" s="11">
        <v>56</v>
      </c>
      <c r="K37" s="11">
        <v>30</v>
      </c>
      <c r="L37" s="11">
        <v>156.6</v>
      </c>
      <c r="M37" s="9" t="s">
        <v>274</v>
      </c>
      <c r="N37" s="9" t="s">
        <v>279</v>
      </c>
      <c r="O37" s="9" t="s">
        <v>266</v>
      </c>
      <c r="P37" s="9" t="s">
        <v>279</v>
      </c>
      <c r="Q37" s="9">
        <v>4</v>
      </c>
      <c r="R37" s="9" t="s">
        <v>268</v>
      </c>
      <c r="S37" s="9" t="s">
        <v>272</v>
      </c>
      <c r="T37" s="9" t="s">
        <v>270</v>
      </c>
      <c r="U37" s="9">
        <v>1</v>
      </c>
      <c r="V37" s="9" t="s">
        <v>268</v>
      </c>
      <c r="W37" s="9" t="s">
        <v>272</v>
      </c>
      <c r="X37" s="9" t="s">
        <v>270</v>
      </c>
      <c r="AG37" s="15">
        <v>51</v>
      </c>
      <c r="AH37" s="21">
        <v>5</v>
      </c>
      <c r="AI37" s="9" t="s">
        <v>1125</v>
      </c>
      <c r="AJ37" s="9" t="s">
        <v>1135</v>
      </c>
    </row>
    <row r="38" spans="1:36" ht="15" customHeight="1" x14ac:dyDescent="0.2">
      <c r="A38" s="9" t="s">
        <v>71</v>
      </c>
      <c r="B38" s="9">
        <v>7</v>
      </c>
      <c r="C38" s="9" t="s">
        <v>240</v>
      </c>
      <c r="D38" s="9" t="s">
        <v>251</v>
      </c>
      <c r="E38" s="9" t="s">
        <v>261</v>
      </c>
      <c r="F38" s="9" t="s">
        <v>264</v>
      </c>
      <c r="G38" s="9" t="s">
        <v>1114</v>
      </c>
      <c r="H38" s="10">
        <v>0.45</v>
      </c>
      <c r="I38" s="11">
        <v>82</v>
      </c>
      <c r="J38" s="11">
        <v>77</v>
      </c>
      <c r="K38" s="11">
        <v>43</v>
      </c>
      <c r="L38" s="11">
        <v>260.3</v>
      </c>
      <c r="M38" s="9" t="s">
        <v>274</v>
      </c>
      <c r="N38" s="9" t="s">
        <v>279</v>
      </c>
      <c r="O38" s="9" t="s">
        <v>710</v>
      </c>
      <c r="P38" s="9" t="s">
        <v>275</v>
      </c>
      <c r="Q38" s="9">
        <v>4</v>
      </c>
      <c r="R38" s="9" t="s">
        <v>701</v>
      </c>
      <c r="S38" s="9" t="s">
        <v>269</v>
      </c>
      <c r="T38" s="9" t="s">
        <v>758</v>
      </c>
      <c r="U38" s="9">
        <v>2</v>
      </c>
      <c r="V38" s="9" t="s">
        <v>701</v>
      </c>
      <c r="W38" s="9" t="s">
        <v>269</v>
      </c>
      <c r="X38" s="9" t="s">
        <v>278</v>
      </c>
      <c r="AG38" s="15">
        <v>58</v>
      </c>
      <c r="AH38" s="21">
        <v>6</v>
      </c>
      <c r="AI38" s="9" t="s">
        <v>1141</v>
      </c>
      <c r="AJ38" s="9" t="s">
        <v>767</v>
      </c>
    </row>
    <row r="39" spans="1:36" ht="15" customHeight="1" x14ac:dyDescent="0.2">
      <c r="A39" s="9" t="s">
        <v>74</v>
      </c>
      <c r="B39" s="9">
        <v>7</v>
      </c>
      <c r="C39" s="9" t="s">
        <v>240</v>
      </c>
      <c r="D39" s="9" t="s">
        <v>258</v>
      </c>
      <c r="E39" s="9" t="s">
        <v>260</v>
      </c>
      <c r="F39" s="9" t="s">
        <v>264</v>
      </c>
      <c r="G39" s="9" t="s">
        <v>1114</v>
      </c>
      <c r="H39" s="10">
        <v>0.5</v>
      </c>
      <c r="I39" s="11">
        <v>112</v>
      </c>
      <c r="J39" s="11">
        <v>94</v>
      </c>
      <c r="K39" s="11">
        <v>60</v>
      </c>
      <c r="L39" s="11">
        <v>818.7</v>
      </c>
      <c r="M39" s="9" t="s">
        <v>274</v>
      </c>
      <c r="N39" s="9" t="s">
        <v>282</v>
      </c>
      <c r="O39" s="9" t="s">
        <v>266</v>
      </c>
      <c r="P39" s="9" t="s">
        <v>279</v>
      </c>
      <c r="Q39" s="9">
        <v>3</v>
      </c>
      <c r="R39" s="9" t="s">
        <v>268</v>
      </c>
      <c r="S39" s="9" t="s">
        <v>272</v>
      </c>
      <c r="T39" s="9" t="s">
        <v>270</v>
      </c>
      <c r="U39" s="9">
        <v>2</v>
      </c>
      <c r="V39" s="9" t="s">
        <v>268</v>
      </c>
      <c r="W39" s="9" t="s">
        <v>272</v>
      </c>
      <c r="X39" s="9" t="s">
        <v>270</v>
      </c>
      <c r="AG39" s="15">
        <v>89</v>
      </c>
      <c r="AH39" s="21">
        <v>5</v>
      </c>
      <c r="AI39" s="9" t="s">
        <v>1125</v>
      </c>
      <c r="AJ39" s="9" t="s">
        <v>1135</v>
      </c>
    </row>
    <row r="40" spans="1:36" ht="15" customHeight="1" x14ac:dyDescent="0.2">
      <c r="A40" s="9" t="s">
        <v>176</v>
      </c>
      <c r="B40" s="9">
        <v>7</v>
      </c>
      <c r="C40" s="9" t="s">
        <v>239</v>
      </c>
      <c r="D40" s="9" t="s">
        <v>251</v>
      </c>
      <c r="E40" s="9" t="s">
        <v>261</v>
      </c>
      <c r="F40" s="9" t="s">
        <v>264</v>
      </c>
      <c r="G40" s="9" t="s">
        <v>1113</v>
      </c>
      <c r="H40" s="10">
        <v>0.4</v>
      </c>
      <c r="I40" s="11">
        <v>77</v>
      </c>
      <c r="J40" s="11">
        <v>38</v>
      </c>
      <c r="K40" s="11">
        <v>32</v>
      </c>
      <c r="L40" s="11">
        <v>108.3</v>
      </c>
      <c r="M40" s="9" t="s">
        <v>274</v>
      </c>
      <c r="N40" s="9" t="s">
        <v>279</v>
      </c>
      <c r="O40" s="9" t="s">
        <v>266</v>
      </c>
      <c r="P40" s="9" t="s">
        <v>282</v>
      </c>
      <c r="Q40" s="9">
        <v>2</v>
      </c>
      <c r="R40" s="9" t="s">
        <v>268</v>
      </c>
      <c r="S40" s="9" t="s">
        <v>272</v>
      </c>
      <c r="T40" s="9" t="s">
        <v>270</v>
      </c>
      <c r="U40" s="9">
        <v>1</v>
      </c>
      <c r="V40" s="9" t="s">
        <v>268</v>
      </c>
      <c r="W40" s="9" t="s">
        <v>272</v>
      </c>
      <c r="X40" s="9" t="s">
        <v>270</v>
      </c>
      <c r="AG40" s="15">
        <v>73</v>
      </c>
      <c r="AH40" s="21">
        <v>3</v>
      </c>
      <c r="AI40" s="9" t="s">
        <v>1131</v>
      </c>
      <c r="AJ40" s="9" t="s">
        <v>1138</v>
      </c>
    </row>
    <row r="41" spans="1:36" ht="15" customHeight="1" x14ac:dyDescent="0.2">
      <c r="A41" s="9" t="s">
        <v>178</v>
      </c>
      <c r="B41" s="9">
        <v>7</v>
      </c>
      <c r="C41" s="9" t="s">
        <v>240</v>
      </c>
      <c r="D41" s="9" t="s">
        <v>251</v>
      </c>
      <c r="E41" s="9" t="s">
        <v>262</v>
      </c>
      <c r="F41" s="9" t="s">
        <v>264</v>
      </c>
      <c r="G41" s="9" t="s">
        <v>1113</v>
      </c>
      <c r="H41" s="10">
        <v>0.15</v>
      </c>
      <c r="I41" s="11">
        <v>62</v>
      </c>
      <c r="J41" s="11">
        <v>40</v>
      </c>
      <c r="K41" s="11">
        <v>38</v>
      </c>
      <c r="L41" s="11">
        <v>100.7</v>
      </c>
      <c r="M41" s="9" t="s">
        <v>274</v>
      </c>
      <c r="N41" s="9" t="s">
        <v>279</v>
      </c>
      <c r="O41" s="9" t="s">
        <v>266</v>
      </c>
      <c r="P41" s="9" t="s">
        <v>282</v>
      </c>
      <c r="Q41" s="9">
        <v>5</v>
      </c>
      <c r="R41" s="9" t="s">
        <v>701</v>
      </c>
      <c r="S41" s="9" t="s">
        <v>269</v>
      </c>
      <c r="T41" s="9" t="s">
        <v>278</v>
      </c>
      <c r="U41" s="9">
        <v>2</v>
      </c>
      <c r="V41" s="9" t="s">
        <v>268</v>
      </c>
      <c r="W41" s="9" t="s">
        <v>269</v>
      </c>
      <c r="X41" s="9" t="s">
        <v>270</v>
      </c>
      <c r="AG41" s="15">
        <v>84</v>
      </c>
      <c r="AH41" s="21">
        <v>7</v>
      </c>
      <c r="AI41" s="9" t="s">
        <v>1124</v>
      </c>
      <c r="AJ41" s="9" t="s">
        <v>1139</v>
      </c>
    </row>
    <row r="42" spans="1:36" ht="15" customHeight="1" x14ac:dyDescent="0.2">
      <c r="A42" s="9" t="s">
        <v>179</v>
      </c>
      <c r="B42" s="9">
        <v>7</v>
      </c>
      <c r="C42" s="9" t="s">
        <v>240</v>
      </c>
      <c r="D42" s="9" t="s">
        <v>258</v>
      </c>
      <c r="E42" s="9" t="s">
        <v>261</v>
      </c>
      <c r="F42" s="9" t="s">
        <v>264</v>
      </c>
      <c r="G42" s="9" t="s">
        <v>287</v>
      </c>
      <c r="H42" s="10">
        <v>0.4</v>
      </c>
      <c r="I42" s="11">
        <v>68</v>
      </c>
      <c r="J42" s="11">
        <v>82</v>
      </c>
      <c r="K42" s="11">
        <v>32</v>
      </c>
      <c r="L42" s="11">
        <v>153.5</v>
      </c>
      <c r="M42" s="9" t="s">
        <v>265</v>
      </c>
      <c r="O42" s="9" t="s">
        <v>710</v>
      </c>
      <c r="P42" s="9" t="s">
        <v>275</v>
      </c>
      <c r="Q42" s="9">
        <v>7</v>
      </c>
      <c r="R42" s="9" t="s">
        <v>701</v>
      </c>
      <c r="S42" s="9" t="s">
        <v>269</v>
      </c>
      <c r="T42" s="9" t="s">
        <v>758</v>
      </c>
      <c r="AG42" s="15">
        <v>81</v>
      </c>
      <c r="AH42" s="21">
        <v>7</v>
      </c>
      <c r="AI42" s="9" t="s">
        <v>1123</v>
      </c>
      <c r="AJ42" s="9" t="s">
        <v>767</v>
      </c>
    </row>
    <row r="43" spans="1:36" ht="15" customHeight="1" x14ac:dyDescent="0.2">
      <c r="A43" s="9" t="s">
        <v>182</v>
      </c>
      <c r="B43" s="9">
        <v>7</v>
      </c>
      <c r="C43" s="9" t="s">
        <v>249</v>
      </c>
      <c r="D43" s="9" t="s">
        <v>251</v>
      </c>
      <c r="E43" s="9" t="s">
        <v>260</v>
      </c>
      <c r="F43" s="9" t="s">
        <v>264</v>
      </c>
      <c r="G43" s="9" t="s">
        <v>1114</v>
      </c>
      <c r="H43" s="10">
        <v>0.6</v>
      </c>
      <c r="I43" s="11">
        <v>86</v>
      </c>
      <c r="J43" s="11">
        <v>79</v>
      </c>
      <c r="K43" s="11">
        <v>46</v>
      </c>
      <c r="L43" s="11">
        <v>449</v>
      </c>
      <c r="M43" s="9" t="s">
        <v>274</v>
      </c>
      <c r="N43" s="9" t="s">
        <v>282</v>
      </c>
      <c r="O43" s="9" t="s">
        <v>267</v>
      </c>
      <c r="Q43" s="9">
        <v>3</v>
      </c>
      <c r="R43" s="9" t="s">
        <v>268</v>
      </c>
      <c r="S43" s="9" t="s">
        <v>272</v>
      </c>
      <c r="T43" s="9" t="s">
        <v>270</v>
      </c>
      <c r="U43" s="9">
        <v>2</v>
      </c>
      <c r="V43" s="9" t="s">
        <v>268</v>
      </c>
      <c r="W43" s="9" t="s">
        <v>272</v>
      </c>
      <c r="X43" s="9" t="s">
        <v>270</v>
      </c>
      <c r="AG43" s="15">
        <v>85</v>
      </c>
      <c r="AH43" s="21">
        <v>5</v>
      </c>
      <c r="AI43" s="9" t="s">
        <v>1140</v>
      </c>
      <c r="AJ43" s="9" t="s">
        <v>1135</v>
      </c>
    </row>
    <row r="44" spans="1:36" ht="15" customHeight="1" x14ac:dyDescent="0.2">
      <c r="A44" s="9" t="s">
        <v>183</v>
      </c>
      <c r="B44" s="9">
        <v>7</v>
      </c>
      <c r="C44" s="9" t="s">
        <v>249</v>
      </c>
      <c r="D44" s="9" t="s">
        <v>253</v>
      </c>
      <c r="E44" s="9" t="s">
        <v>261</v>
      </c>
      <c r="F44" s="9" t="s">
        <v>264</v>
      </c>
      <c r="G44" s="9" t="s">
        <v>1114</v>
      </c>
      <c r="H44" s="10">
        <v>0.4</v>
      </c>
      <c r="I44" s="11">
        <v>82</v>
      </c>
      <c r="J44" s="11">
        <v>70</v>
      </c>
      <c r="K44" s="11">
        <v>55</v>
      </c>
      <c r="L44" s="11">
        <v>351.2</v>
      </c>
      <c r="M44" s="9" t="s">
        <v>698</v>
      </c>
      <c r="N44" s="9" t="s">
        <v>699</v>
      </c>
      <c r="O44" s="9" t="s">
        <v>710</v>
      </c>
      <c r="P44" s="9" t="s">
        <v>699</v>
      </c>
      <c r="Q44" s="9">
        <v>3</v>
      </c>
      <c r="R44" s="9" t="s">
        <v>701</v>
      </c>
      <c r="S44" s="9" t="s">
        <v>269</v>
      </c>
      <c r="T44" s="9" t="s">
        <v>709</v>
      </c>
      <c r="U44" s="9">
        <v>3</v>
      </c>
      <c r="V44" s="9" t="s">
        <v>268</v>
      </c>
      <c r="W44" s="9" t="s">
        <v>272</v>
      </c>
      <c r="X44" s="9" t="s">
        <v>270</v>
      </c>
      <c r="Y44" s="9">
        <v>3</v>
      </c>
      <c r="Z44" s="9" t="s">
        <v>268</v>
      </c>
      <c r="AA44" s="9" t="s">
        <v>272</v>
      </c>
      <c r="AB44" s="9" t="s">
        <v>270</v>
      </c>
      <c r="AG44" s="15">
        <v>80</v>
      </c>
      <c r="AH44" s="21">
        <v>9</v>
      </c>
      <c r="AI44" s="9" t="s">
        <v>1127</v>
      </c>
      <c r="AJ44" s="9" t="s">
        <v>766</v>
      </c>
    </row>
    <row r="45" spans="1:36" ht="15" customHeight="1" x14ac:dyDescent="0.2">
      <c r="A45" s="9" t="s">
        <v>185</v>
      </c>
      <c r="B45" s="9">
        <v>7</v>
      </c>
      <c r="C45" s="9" t="s">
        <v>249</v>
      </c>
      <c r="D45" s="9" t="s">
        <v>251</v>
      </c>
      <c r="E45" s="9" t="s">
        <v>261</v>
      </c>
      <c r="F45" s="9" t="s">
        <v>264</v>
      </c>
      <c r="G45" s="9" t="s">
        <v>1114</v>
      </c>
      <c r="H45" s="10">
        <v>0.65</v>
      </c>
      <c r="I45" s="11">
        <v>88</v>
      </c>
      <c r="J45" s="11">
        <v>81</v>
      </c>
      <c r="K45" s="11">
        <v>66</v>
      </c>
      <c r="L45" s="11">
        <v>525.4</v>
      </c>
      <c r="M45" s="9" t="s">
        <v>274</v>
      </c>
      <c r="N45" s="9" t="s">
        <v>279</v>
      </c>
      <c r="O45" s="9" t="s">
        <v>266</v>
      </c>
      <c r="P45" s="9" t="s">
        <v>279</v>
      </c>
      <c r="Q45" s="9">
        <v>2</v>
      </c>
      <c r="R45" s="9" t="s">
        <v>268</v>
      </c>
      <c r="S45" s="9" t="s">
        <v>272</v>
      </c>
      <c r="T45" s="9" t="s">
        <v>270</v>
      </c>
      <c r="U45" s="9">
        <v>1</v>
      </c>
      <c r="V45" s="9" t="s">
        <v>268</v>
      </c>
      <c r="W45" s="9" t="s">
        <v>269</v>
      </c>
      <c r="X45" s="9" t="s">
        <v>270</v>
      </c>
      <c r="AG45" s="15">
        <v>72</v>
      </c>
      <c r="AH45" s="21">
        <v>3</v>
      </c>
      <c r="AI45" s="9" t="s">
        <v>1125</v>
      </c>
      <c r="AJ45" s="9" t="s">
        <v>1135</v>
      </c>
    </row>
    <row r="46" spans="1:36" ht="15" customHeight="1" x14ac:dyDescent="0.2">
      <c r="A46" s="9" t="s">
        <v>187</v>
      </c>
      <c r="B46" s="9">
        <v>7</v>
      </c>
      <c r="C46" s="9" t="s">
        <v>249</v>
      </c>
      <c r="D46" s="9" t="s">
        <v>251</v>
      </c>
      <c r="E46" s="9" t="s">
        <v>261</v>
      </c>
      <c r="F46" s="9" t="s">
        <v>264</v>
      </c>
      <c r="G46" s="9" t="s">
        <v>1113</v>
      </c>
      <c r="H46" s="10">
        <v>0.4</v>
      </c>
      <c r="I46" s="11">
        <v>76</v>
      </c>
      <c r="J46" s="11">
        <v>53</v>
      </c>
      <c r="K46" s="11">
        <v>32</v>
      </c>
      <c r="L46" s="11">
        <v>131.80000000000001</v>
      </c>
      <c r="M46" s="9" t="s">
        <v>265</v>
      </c>
      <c r="O46" s="9" t="s">
        <v>267</v>
      </c>
      <c r="Q46" s="9">
        <v>2</v>
      </c>
      <c r="R46" s="9" t="s">
        <v>701</v>
      </c>
      <c r="S46" s="9" t="s">
        <v>269</v>
      </c>
      <c r="T46" s="9" t="s">
        <v>270</v>
      </c>
      <c r="AG46" s="15">
        <v>81</v>
      </c>
      <c r="AH46" s="21">
        <v>2</v>
      </c>
      <c r="AI46" s="9" t="s">
        <v>1120</v>
      </c>
      <c r="AJ46" s="9" t="s">
        <v>1138</v>
      </c>
    </row>
    <row r="47" spans="1:36" ht="15" customHeight="1" x14ac:dyDescent="0.2">
      <c r="A47" s="9" t="s">
        <v>188</v>
      </c>
      <c r="B47" s="9">
        <v>7</v>
      </c>
      <c r="C47" s="9" t="s">
        <v>249</v>
      </c>
      <c r="D47" s="9" t="s">
        <v>251</v>
      </c>
      <c r="E47" s="9" t="s">
        <v>260</v>
      </c>
      <c r="F47" s="9" t="s">
        <v>264</v>
      </c>
      <c r="G47" s="9" t="s">
        <v>1113</v>
      </c>
      <c r="H47" s="10">
        <v>0.25</v>
      </c>
      <c r="I47" s="11">
        <v>76</v>
      </c>
      <c r="J47" s="11">
        <v>44</v>
      </c>
      <c r="K47" s="11">
        <v>42</v>
      </c>
      <c r="L47" s="11">
        <v>169.2</v>
      </c>
      <c r="M47" s="9" t="s">
        <v>698</v>
      </c>
      <c r="N47" s="9" t="s">
        <v>699</v>
      </c>
      <c r="O47" s="9" t="s">
        <v>266</v>
      </c>
      <c r="P47" s="9" t="s">
        <v>279</v>
      </c>
      <c r="Q47" s="9">
        <v>1</v>
      </c>
      <c r="R47" s="9" t="s">
        <v>268</v>
      </c>
      <c r="S47" s="9" t="s">
        <v>272</v>
      </c>
      <c r="T47" s="9" t="s">
        <v>270</v>
      </c>
      <c r="U47" s="9">
        <v>1</v>
      </c>
      <c r="V47" s="9" t="s">
        <v>268</v>
      </c>
      <c r="W47" s="9" t="s">
        <v>272</v>
      </c>
      <c r="X47" s="9" t="s">
        <v>270</v>
      </c>
      <c r="Y47" s="9">
        <v>1</v>
      </c>
      <c r="Z47" s="9" t="s">
        <v>701</v>
      </c>
      <c r="AA47" s="9" t="s">
        <v>269</v>
      </c>
      <c r="AB47" s="9" t="s">
        <v>270</v>
      </c>
      <c r="AG47" s="15">
        <v>79</v>
      </c>
      <c r="AH47" s="21">
        <v>3</v>
      </c>
      <c r="AI47" s="9" t="s">
        <v>1130</v>
      </c>
      <c r="AJ47" s="9" t="s">
        <v>766</v>
      </c>
    </row>
    <row r="48" spans="1:36" ht="15" customHeight="1" x14ac:dyDescent="0.2">
      <c r="A48" s="9" t="s">
        <v>283</v>
      </c>
      <c r="B48" s="9">
        <v>7</v>
      </c>
      <c r="C48" s="9" t="s">
        <v>240</v>
      </c>
      <c r="D48" s="9" t="s">
        <v>251</v>
      </c>
      <c r="E48" s="9" t="s">
        <v>260</v>
      </c>
      <c r="F48" s="9" t="s">
        <v>264</v>
      </c>
      <c r="G48" s="9" t="s">
        <v>1114</v>
      </c>
      <c r="H48" s="10">
        <v>0.6</v>
      </c>
      <c r="I48" s="9">
        <v>76</v>
      </c>
      <c r="J48" s="9">
        <v>57</v>
      </c>
      <c r="K48" s="9">
        <v>44</v>
      </c>
      <c r="L48" s="9">
        <v>189.7</v>
      </c>
      <c r="M48" s="9" t="s">
        <v>265</v>
      </c>
      <c r="O48" s="9" t="s">
        <v>267</v>
      </c>
      <c r="Q48" s="9">
        <v>4</v>
      </c>
      <c r="R48" s="9" t="s">
        <v>268</v>
      </c>
      <c r="S48" s="9" t="s">
        <v>272</v>
      </c>
      <c r="T48" s="9" t="s">
        <v>270</v>
      </c>
      <c r="AG48" s="15">
        <v>73</v>
      </c>
      <c r="AH48" s="21">
        <v>4</v>
      </c>
      <c r="AI48" s="9" t="s">
        <v>1120</v>
      </c>
      <c r="AJ48" s="9" t="s">
        <v>1138</v>
      </c>
    </row>
    <row r="49" spans="1:36" ht="15" customHeight="1" x14ac:dyDescent="0.2">
      <c r="A49" s="9" t="s">
        <v>77</v>
      </c>
      <c r="B49" s="9">
        <v>8</v>
      </c>
      <c r="C49" s="9" t="s">
        <v>241</v>
      </c>
      <c r="D49" s="9" t="s">
        <v>257</v>
      </c>
      <c r="E49" s="9" t="s">
        <v>263</v>
      </c>
      <c r="F49" s="9" t="s">
        <v>264</v>
      </c>
      <c r="G49" s="9" t="s">
        <v>1114</v>
      </c>
      <c r="H49" s="10">
        <v>0.55000000000000004</v>
      </c>
      <c r="I49" s="11">
        <v>69</v>
      </c>
      <c r="J49" s="11">
        <v>67</v>
      </c>
      <c r="K49" s="11">
        <v>45</v>
      </c>
      <c r="L49" s="11">
        <v>229.9</v>
      </c>
      <c r="M49" s="9" t="s">
        <v>274</v>
      </c>
      <c r="N49" s="9" t="s">
        <v>279</v>
      </c>
      <c r="O49" s="9" t="s">
        <v>266</v>
      </c>
      <c r="P49" s="9" t="s">
        <v>279</v>
      </c>
      <c r="Q49" s="9">
        <v>2</v>
      </c>
      <c r="R49" s="9" t="s">
        <v>701</v>
      </c>
      <c r="S49" s="9" t="s">
        <v>269</v>
      </c>
      <c r="T49" s="9" t="s">
        <v>270</v>
      </c>
      <c r="U49" s="9">
        <v>4</v>
      </c>
      <c r="V49" s="9" t="s">
        <v>268</v>
      </c>
      <c r="W49" s="9" t="s">
        <v>272</v>
      </c>
      <c r="X49" s="9" t="s">
        <v>270</v>
      </c>
      <c r="AG49" s="15">
        <v>84</v>
      </c>
      <c r="AH49" s="21">
        <v>6</v>
      </c>
      <c r="AI49" s="9" t="s">
        <v>1125</v>
      </c>
      <c r="AJ49" s="9" t="s">
        <v>1135</v>
      </c>
    </row>
    <row r="50" spans="1:36" ht="15" customHeight="1" x14ac:dyDescent="0.2">
      <c r="A50" s="9" t="s">
        <v>78</v>
      </c>
      <c r="B50" s="9">
        <v>8</v>
      </c>
      <c r="C50" s="9" t="s">
        <v>241</v>
      </c>
      <c r="D50" s="9" t="s">
        <v>257</v>
      </c>
      <c r="E50" s="9" t="s">
        <v>261</v>
      </c>
      <c r="F50" s="9" t="s">
        <v>264</v>
      </c>
      <c r="G50" s="9" t="s">
        <v>1114</v>
      </c>
      <c r="H50" s="10">
        <v>0.6</v>
      </c>
      <c r="I50" s="11">
        <v>67</v>
      </c>
      <c r="J50" s="11">
        <v>67</v>
      </c>
      <c r="K50" s="11">
        <v>56</v>
      </c>
      <c r="L50" s="11">
        <v>347.4</v>
      </c>
      <c r="M50" s="9" t="s">
        <v>265</v>
      </c>
      <c r="O50" s="9" t="s">
        <v>267</v>
      </c>
      <c r="Q50" s="9">
        <v>1</v>
      </c>
      <c r="R50" s="9" t="s">
        <v>268</v>
      </c>
      <c r="S50" s="9" t="s">
        <v>272</v>
      </c>
      <c r="T50" s="9" t="s">
        <v>270</v>
      </c>
      <c r="AG50" s="15">
        <v>89</v>
      </c>
      <c r="AH50" s="21">
        <v>1</v>
      </c>
      <c r="AI50" s="9" t="s">
        <v>1121</v>
      </c>
      <c r="AJ50" s="9" t="s">
        <v>1134</v>
      </c>
    </row>
    <row r="51" spans="1:36" ht="15" customHeight="1" x14ac:dyDescent="0.2">
      <c r="A51" s="9" t="s">
        <v>189</v>
      </c>
      <c r="B51" s="9">
        <v>8</v>
      </c>
      <c r="C51" s="9" t="s">
        <v>241</v>
      </c>
      <c r="D51" s="9" t="s">
        <v>251</v>
      </c>
      <c r="E51" s="9" t="s">
        <v>262</v>
      </c>
      <c r="F51" s="9" t="s">
        <v>264</v>
      </c>
      <c r="G51" s="9" t="s">
        <v>1113</v>
      </c>
      <c r="H51" s="10">
        <v>0.55000000000000004</v>
      </c>
      <c r="I51" s="11">
        <v>80</v>
      </c>
      <c r="J51" s="11">
        <v>72</v>
      </c>
      <c r="K51" s="11">
        <v>49</v>
      </c>
      <c r="L51" s="11">
        <v>255</v>
      </c>
      <c r="M51" s="9" t="s">
        <v>274</v>
      </c>
      <c r="N51" s="9" t="s">
        <v>279</v>
      </c>
      <c r="O51" s="9" t="s">
        <v>700</v>
      </c>
      <c r="P51" s="9" t="s">
        <v>699</v>
      </c>
      <c r="Q51" s="9">
        <v>1</v>
      </c>
      <c r="R51" s="9" t="s">
        <v>701</v>
      </c>
      <c r="S51" s="9" t="s">
        <v>269</v>
      </c>
      <c r="T51" s="9" t="s">
        <v>270</v>
      </c>
      <c r="U51" s="9">
        <v>4</v>
      </c>
      <c r="V51" s="9" t="s">
        <v>268</v>
      </c>
      <c r="W51" s="9" t="s">
        <v>272</v>
      </c>
      <c r="X51" s="9" t="s">
        <v>709</v>
      </c>
      <c r="AG51" s="15">
        <v>78</v>
      </c>
      <c r="AH51" s="21">
        <v>5</v>
      </c>
      <c r="AI51" s="9" t="s">
        <v>1126</v>
      </c>
      <c r="AJ51" s="9" t="s">
        <v>1135</v>
      </c>
    </row>
    <row r="52" spans="1:36" ht="15" customHeight="1" x14ac:dyDescent="0.2">
      <c r="A52" s="9" t="s">
        <v>697</v>
      </c>
      <c r="B52" s="9">
        <v>8</v>
      </c>
      <c r="C52" s="9" t="s">
        <v>241</v>
      </c>
      <c r="D52" s="9" t="s">
        <v>251</v>
      </c>
      <c r="E52" s="9" t="s">
        <v>261</v>
      </c>
      <c r="F52" s="9" t="s">
        <v>264</v>
      </c>
      <c r="G52" s="9" t="s">
        <v>1114</v>
      </c>
      <c r="H52" s="10">
        <v>0.75</v>
      </c>
      <c r="I52" s="11">
        <v>84</v>
      </c>
      <c r="J52" s="11">
        <v>38</v>
      </c>
      <c r="K52" s="11">
        <v>35</v>
      </c>
      <c r="L52" s="11">
        <v>161.30000000000001</v>
      </c>
      <c r="M52" s="9" t="s">
        <v>265</v>
      </c>
      <c r="O52" s="9" t="s">
        <v>267</v>
      </c>
      <c r="Q52" s="9">
        <v>2</v>
      </c>
      <c r="R52" s="9" t="s">
        <v>268</v>
      </c>
      <c r="S52" s="9" t="s">
        <v>272</v>
      </c>
      <c r="T52" s="9" t="s">
        <v>270</v>
      </c>
      <c r="AG52" s="15">
        <v>57</v>
      </c>
      <c r="AH52" s="21">
        <v>2</v>
      </c>
      <c r="AI52" s="9" t="s">
        <v>1120</v>
      </c>
      <c r="AJ52" s="9" t="s">
        <v>1138</v>
      </c>
    </row>
    <row r="53" spans="1:36" ht="15" customHeight="1" x14ac:dyDescent="0.2">
      <c r="A53" s="9" t="s">
        <v>768</v>
      </c>
      <c r="B53" s="9">
        <v>8</v>
      </c>
      <c r="C53" s="9" t="s">
        <v>241</v>
      </c>
      <c r="D53" s="9" t="s">
        <v>251</v>
      </c>
      <c r="E53" s="9" t="s">
        <v>260</v>
      </c>
      <c r="F53" s="9" t="s">
        <v>264</v>
      </c>
      <c r="G53" s="9" t="s">
        <v>1114</v>
      </c>
      <c r="H53" s="10">
        <v>0.65</v>
      </c>
      <c r="I53" s="9">
        <v>73</v>
      </c>
      <c r="J53" s="9">
        <v>70</v>
      </c>
      <c r="K53" s="9">
        <v>22</v>
      </c>
      <c r="L53" s="9">
        <v>131.4</v>
      </c>
      <c r="M53" s="9" t="s">
        <v>265</v>
      </c>
      <c r="O53" s="9" t="s">
        <v>710</v>
      </c>
      <c r="P53" s="9" t="s">
        <v>275</v>
      </c>
      <c r="Q53" s="9">
        <v>4</v>
      </c>
      <c r="R53" s="9" t="s">
        <v>701</v>
      </c>
      <c r="S53" s="9" t="s">
        <v>269</v>
      </c>
      <c r="T53" s="9" t="s">
        <v>758</v>
      </c>
      <c r="AG53" s="15">
        <v>52</v>
      </c>
      <c r="AH53" s="21">
        <v>4</v>
      </c>
      <c r="AI53" s="9" t="s">
        <v>1123</v>
      </c>
      <c r="AJ53" s="9" t="s">
        <v>767</v>
      </c>
    </row>
    <row r="54" spans="1:36" ht="15" customHeight="1" x14ac:dyDescent="0.2">
      <c r="A54" s="9" t="s">
        <v>79</v>
      </c>
      <c r="B54" s="9">
        <v>9</v>
      </c>
      <c r="C54" s="9" t="s">
        <v>242</v>
      </c>
      <c r="D54" s="9" t="s">
        <v>257</v>
      </c>
      <c r="E54" s="9" t="s">
        <v>261</v>
      </c>
      <c r="F54" s="9" t="s">
        <v>264</v>
      </c>
      <c r="G54" s="9" t="s">
        <v>1114</v>
      </c>
      <c r="H54" s="10">
        <v>0.3</v>
      </c>
      <c r="I54" s="11">
        <v>57</v>
      </c>
      <c r="J54" s="11">
        <v>52</v>
      </c>
      <c r="K54" s="11">
        <v>50</v>
      </c>
      <c r="L54" s="11">
        <v>165.1</v>
      </c>
      <c r="M54" s="9" t="s">
        <v>727</v>
      </c>
      <c r="N54" s="9" t="s">
        <v>728</v>
      </c>
      <c r="O54" s="9" t="s">
        <v>710</v>
      </c>
      <c r="P54" s="9" t="s">
        <v>699</v>
      </c>
      <c r="Q54" s="9">
        <v>2</v>
      </c>
      <c r="R54" s="9" t="s">
        <v>701</v>
      </c>
      <c r="S54" s="9" t="s">
        <v>269</v>
      </c>
      <c r="T54" s="9" t="s">
        <v>270</v>
      </c>
      <c r="U54" s="9">
        <v>4</v>
      </c>
      <c r="V54" s="9" t="s">
        <v>268</v>
      </c>
      <c r="W54" s="9" t="s">
        <v>272</v>
      </c>
      <c r="X54" s="9" t="s">
        <v>270</v>
      </c>
      <c r="Y54" s="9">
        <v>1</v>
      </c>
      <c r="Z54" s="9" t="s">
        <v>268</v>
      </c>
      <c r="AA54" s="9" t="s">
        <v>272</v>
      </c>
      <c r="AB54" s="9" t="s">
        <v>270</v>
      </c>
      <c r="AC54" s="9">
        <v>1</v>
      </c>
      <c r="AD54" s="9" t="s">
        <v>701</v>
      </c>
      <c r="AE54" s="9" t="s">
        <v>269</v>
      </c>
      <c r="AF54" s="9" t="s">
        <v>270</v>
      </c>
      <c r="AG54" s="15">
        <v>86</v>
      </c>
      <c r="AH54" s="21">
        <v>8</v>
      </c>
      <c r="AI54" s="9" t="s">
        <v>1127</v>
      </c>
      <c r="AJ54" s="9" t="s">
        <v>766</v>
      </c>
    </row>
    <row r="55" spans="1:36" ht="15" customHeight="1" x14ac:dyDescent="0.2">
      <c r="A55" s="9" t="s">
        <v>82</v>
      </c>
      <c r="B55" s="9">
        <v>9</v>
      </c>
      <c r="C55" s="9" t="s">
        <v>242</v>
      </c>
      <c r="D55" s="9" t="s">
        <v>251</v>
      </c>
      <c r="E55" s="9" t="s">
        <v>261</v>
      </c>
      <c r="F55" s="9" t="s">
        <v>264</v>
      </c>
      <c r="G55" s="9" t="s">
        <v>1114</v>
      </c>
      <c r="H55" s="10">
        <v>0.65</v>
      </c>
      <c r="I55" s="11">
        <v>77</v>
      </c>
      <c r="J55" s="11">
        <v>59</v>
      </c>
      <c r="K55" s="11">
        <v>45</v>
      </c>
      <c r="L55" s="11">
        <v>227.3</v>
      </c>
      <c r="M55" s="9" t="s">
        <v>274</v>
      </c>
      <c r="N55" s="9" t="s">
        <v>279</v>
      </c>
      <c r="O55" s="9" t="s">
        <v>267</v>
      </c>
      <c r="Q55" s="9">
        <v>4</v>
      </c>
      <c r="R55" s="9" t="s">
        <v>268</v>
      </c>
      <c r="S55" s="9" t="s">
        <v>272</v>
      </c>
      <c r="T55" s="9" t="s">
        <v>270</v>
      </c>
      <c r="U55" s="9">
        <v>2</v>
      </c>
      <c r="V55" s="9" t="s">
        <v>268</v>
      </c>
      <c r="W55" s="9" t="s">
        <v>272</v>
      </c>
      <c r="X55" s="9" t="s">
        <v>270</v>
      </c>
      <c r="AG55" s="15">
        <v>76</v>
      </c>
      <c r="AH55" s="21">
        <v>6</v>
      </c>
      <c r="AI55" s="9" t="s">
        <v>1120</v>
      </c>
      <c r="AJ55" s="9" t="s">
        <v>1138</v>
      </c>
    </row>
    <row r="56" spans="1:36" ht="15" customHeight="1" x14ac:dyDescent="0.2">
      <c r="A56" s="9" t="s">
        <v>276</v>
      </c>
      <c r="B56" s="9">
        <v>9</v>
      </c>
      <c r="C56" s="9" t="s">
        <v>242</v>
      </c>
      <c r="D56" s="9" t="s">
        <v>707</v>
      </c>
      <c r="E56" s="9" t="s">
        <v>261</v>
      </c>
      <c r="F56" s="9" t="s">
        <v>264</v>
      </c>
      <c r="G56" s="9" t="s">
        <v>1113</v>
      </c>
      <c r="H56" s="10">
        <v>0.3</v>
      </c>
      <c r="I56" s="11">
        <v>114</v>
      </c>
      <c r="J56" s="11">
        <v>85</v>
      </c>
      <c r="K56" s="11">
        <v>80</v>
      </c>
      <c r="L56" s="11">
        <v>754.8</v>
      </c>
      <c r="M56" s="9" t="s">
        <v>698</v>
      </c>
      <c r="N56" s="9" t="s">
        <v>699</v>
      </c>
      <c r="O56" s="9" t="s">
        <v>700</v>
      </c>
      <c r="P56" s="9" t="s">
        <v>699</v>
      </c>
      <c r="Q56" s="9">
        <v>5</v>
      </c>
      <c r="R56" s="9" t="s">
        <v>701</v>
      </c>
      <c r="S56" s="9" t="s">
        <v>269</v>
      </c>
      <c r="T56" s="9" t="s">
        <v>758</v>
      </c>
      <c r="U56" s="9">
        <v>5</v>
      </c>
      <c r="V56" s="9" t="s">
        <v>268</v>
      </c>
      <c r="W56" s="9" t="s">
        <v>272</v>
      </c>
      <c r="X56" s="9" t="s">
        <v>270</v>
      </c>
      <c r="Y56" s="9">
        <v>2</v>
      </c>
      <c r="Z56" s="9" t="s">
        <v>268</v>
      </c>
      <c r="AA56" s="9" t="s">
        <v>272</v>
      </c>
      <c r="AB56" s="9" t="s">
        <v>270</v>
      </c>
      <c r="AG56" s="15">
        <v>76</v>
      </c>
      <c r="AH56" s="21">
        <v>12</v>
      </c>
      <c r="AI56" s="9" t="s">
        <v>1127</v>
      </c>
      <c r="AJ56" s="9" t="s">
        <v>766</v>
      </c>
    </row>
    <row r="57" spans="1:36" ht="15" customHeight="1" x14ac:dyDescent="0.2">
      <c r="A57" s="9" t="s">
        <v>84</v>
      </c>
      <c r="B57" s="9">
        <v>9</v>
      </c>
      <c r="C57" s="9" t="s">
        <v>242</v>
      </c>
      <c r="D57" s="9" t="s">
        <v>251</v>
      </c>
      <c r="E57" s="9" t="s">
        <v>261</v>
      </c>
      <c r="F57" s="9" t="s">
        <v>264</v>
      </c>
      <c r="G57" s="9" t="s">
        <v>1114</v>
      </c>
      <c r="H57" s="10">
        <v>0.6</v>
      </c>
      <c r="I57" s="11">
        <v>61</v>
      </c>
      <c r="J57" s="11">
        <v>40</v>
      </c>
      <c r="K57" s="11">
        <v>29</v>
      </c>
      <c r="L57" s="11">
        <v>107</v>
      </c>
      <c r="M57" s="9" t="s">
        <v>265</v>
      </c>
      <c r="O57" s="9" t="s">
        <v>267</v>
      </c>
      <c r="Q57" s="9">
        <v>7</v>
      </c>
      <c r="R57" s="9" t="s">
        <v>268</v>
      </c>
      <c r="S57" s="9" t="s">
        <v>272</v>
      </c>
      <c r="T57" s="9" t="s">
        <v>270</v>
      </c>
      <c r="AG57" s="15">
        <v>70</v>
      </c>
      <c r="AH57" s="21">
        <v>7</v>
      </c>
      <c r="AI57" s="9" t="s">
        <v>1120</v>
      </c>
      <c r="AJ57" s="9" t="s">
        <v>1138</v>
      </c>
    </row>
    <row r="58" spans="1:36" ht="15" customHeight="1" x14ac:dyDescent="0.2">
      <c r="A58" s="9" t="s">
        <v>85</v>
      </c>
      <c r="B58" s="9">
        <v>9</v>
      </c>
      <c r="C58" s="9" t="s">
        <v>242</v>
      </c>
      <c r="D58" s="9" t="s">
        <v>251</v>
      </c>
      <c r="E58" s="9" t="s">
        <v>260</v>
      </c>
      <c r="F58" s="9" t="s">
        <v>264</v>
      </c>
      <c r="G58" s="9" t="s">
        <v>1114</v>
      </c>
      <c r="H58" s="10">
        <v>0.4</v>
      </c>
      <c r="I58" s="11">
        <v>73</v>
      </c>
      <c r="J58" s="11">
        <v>50</v>
      </c>
      <c r="K58" s="11">
        <v>31</v>
      </c>
      <c r="L58" s="11">
        <v>101.9</v>
      </c>
      <c r="M58" s="9" t="s">
        <v>265</v>
      </c>
      <c r="O58" s="9" t="s">
        <v>710</v>
      </c>
      <c r="P58" s="9" t="s">
        <v>275</v>
      </c>
      <c r="Q58" s="9">
        <v>5</v>
      </c>
      <c r="R58" s="9" t="s">
        <v>701</v>
      </c>
      <c r="S58" s="9" t="s">
        <v>269</v>
      </c>
      <c r="T58" s="9" t="s">
        <v>758</v>
      </c>
      <c r="AG58" s="15">
        <v>59</v>
      </c>
      <c r="AH58" s="21">
        <v>5</v>
      </c>
      <c r="AI58" s="9" t="s">
        <v>1123</v>
      </c>
      <c r="AJ58" s="9" t="s">
        <v>767</v>
      </c>
    </row>
    <row r="59" spans="1:36" ht="15" customHeight="1" x14ac:dyDescent="0.2">
      <c r="A59" s="9" t="s">
        <v>86</v>
      </c>
      <c r="B59" s="9">
        <v>9</v>
      </c>
      <c r="C59" s="9" t="s">
        <v>242</v>
      </c>
      <c r="D59" s="9" t="s">
        <v>251</v>
      </c>
      <c r="E59" s="9" t="s">
        <v>261</v>
      </c>
      <c r="F59" s="9" t="s">
        <v>264</v>
      </c>
      <c r="G59" s="9" t="s">
        <v>1114</v>
      </c>
      <c r="H59" s="10">
        <v>0.5</v>
      </c>
      <c r="I59" s="11">
        <v>93</v>
      </c>
      <c r="J59" s="11">
        <v>72</v>
      </c>
      <c r="K59" s="11">
        <v>41</v>
      </c>
      <c r="L59" s="11">
        <v>315.8</v>
      </c>
      <c r="M59" s="9" t="s">
        <v>274</v>
      </c>
      <c r="N59" s="9" t="s">
        <v>282</v>
      </c>
      <c r="O59" s="9" t="s">
        <v>266</v>
      </c>
      <c r="P59" s="9" t="s">
        <v>282</v>
      </c>
      <c r="Q59" s="9">
        <v>5</v>
      </c>
      <c r="R59" s="9" t="s">
        <v>268</v>
      </c>
      <c r="S59" s="9" t="s">
        <v>272</v>
      </c>
      <c r="T59" s="9" t="s">
        <v>270</v>
      </c>
      <c r="U59" s="9">
        <v>2</v>
      </c>
      <c r="V59" s="9" t="s">
        <v>268</v>
      </c>
      <c r="W59" s="9" t="s">
        <v>272</v>
      </c>
      <c r="X59" s="9" t="s">
        <v>270</v>
      </c>
      <c r="AG59" s="15">
        <v>76</v>
      </c>
      <c r="AH59" s="21">
        <v>7</v>
      </c>
      <c r="AI59" s="9" t="s">
        <v>1125</v>
      </c>
      <c r="AJ59" s="9" t="s">
        <v>1135</v>
      </c>
    </row>
    <row r="60" spans="1:36" ht="15" customHeight="1" x14ac:dyDescent="0.2">
      <c r="A60" s="9" t="s">
        <v>87</v>
      </c>
      <c r="B60" s="9">
        <v>9</v>
      </c>
      <c r="C60" s="9" t="s">
        <v>242</v>
      </c>
      <c r="D60" s="9" t="s">
        <v>251</v>
      </c>
      <c r="E60" s="9" t="s">
        <v>261</v>
      </c>
      <c r="F60" s="9" t="s">
        <v>264</v>
      </c>
      <c r="G60" s="9" t="s">
        <v>1114</v>
      </c>
      <c r="H60" s="10">
        <v>0.65</v>
      </c>
      <c r="I60" s="11">
        <v>82</v>
      </c>
      <c r="J60" s="11">
        <v>80</v>
      </c>
      <c r="K60" s="11">
        <v>55</v>
      </c>
      <c r="L60" s="11">
        <v>437.7</v>
      </c>
      <c r="M60" s="9" t="s">
        <v>265</v>
      </c>
      <c r="O60" s="9" t="s">
        <v>267</v>
      </c>
      <c r="Q60" s="9">
        <v>1</v>
      </c>
      <c r="R60" s="9" t="s">
        <v>268</v>
      </c>
      <c r="S60" s="9" t="s">
        <v>269</v>
      </c>
      <c r="T60" s="9" t="s">
        <v>270</v>
      </c>
      <c r="AG60" s="15">
        <v>89</v>
      </c>
      <c r="AH60" s="21">
        <v>1</v>
      </c>
      <c r="AI60" s="9" t="s">
        <v>1121</v>
      </c>
      <c r="AJ60" s="9" t="s">
        <v>1134</v>
      </c>
    </row>
    <row r="61" spans="1:36" ht="15" customHeight="1" x14ac:dyDescent="0.2">
      <c r="A61" s="9" t="s">
        <v>88</v>
      </c>
      <c r="B61" s="9">
        <v>9</v>
      </c>
      <c r="C61" s="9" t="s">
        <v>242</v>
      </c>
      <c r="D61" s="9" t="s">
        <v>251</v>
      </c>
      <c r="E61" s="9" t="s">
        <v>261</v>
      </c>
      <c r="F61" s="9" t="s">
        <v>264</v>
      </c>
      <c r="G61" s="9" t="s">
        <v>1114</v>
      </c>
      <c r="H61" s="10">
        <v>0.35</v>
      </c>
      <c r="I61" s="11">
        <v>75</v>
      </c>
      <c r="J61" s="11">
        <v>74</v>
      </c>
      <c r="K61" s="11">
        <v>53</v>
      </c>
      <c r="L61" s="11">
        <v>386.4</v>
      </c>
      <c r="M61" s="9" t="s">
        <v>265</v>
      </c>
      <c r="O61" s="9" t="s">
        <v>267</v>
      </c>
      <c r="Q61" s="9">
        <v>7</v>
      </c>
      <c r="R61" s="9" t="s">
        <v>268</v>
      </c>
      <c r="S61" s="9" t="s">
        <v>272</v>
      </c>
      <c r="T61" s="9" t="s">
        <v>270</v>
      </c>
      <c r="AG61" s="15">
        <v>82</v>
      </c>
      <c r="AH61" s="21">
        <v>7</v>
      </c>
      <c r="AI61" s="9" t="s">
        <v>1120</v>
      </c>
      <c r="AJ61" s="9" t="s">
        <v>1138</v>
      </c>
    </row>
    <row r="62" spans="1:36" ht="15" customHeight="1" x14ac:dyDescent="0.2">
      <c r="A62" s="9" t="s">
        <v>89</v>
      </c>
      <c r="B62" s="9">
        <v>9</v>
      </c>
      <c r="C62" s="9" t="s">
        <v>242</v>
      </c>
      <c r="D62" s="9" t="s">
        <v>257</v>
      </c>
      <c r="E62" s="9" t="s">
        <v>261</v>
      </c>
      <c r="F62" s="9" t="s">
        <v>264</v>
      </c>
      <c r="G62" s="9" t="s">
        <v>1114</v>
      </c>
      <c r="H62" s="10">
        <v>0.6</v>
      </c>
      <c r="I62" s="11">
        <v>58</v>
      </c>
      <c r="J62" s="11">
        <v>46</v>
      </c>
      <c r="K62" s="11">
        <v>31</v>
      </c>
      <c r="L62" s="11">
        <v>100.1</v>
      </c>
      <c r="M62" s="9" t="s">
        <v>265</v>
      </c>
      <c r="O62" s="9" t="s">
        <v>710</v>
      </c>
      <c r="P62" s="9" t="s">
        <v>275</v>
      </c>
      <c r="Q62" s="9">
        <v>6</v>
      </c>
      <c r="R62" s="9" t="s">
        <v>701</v>
      </c>
      <c r="S62" s="9" t="s">
        <v>269</v>
      </c>
      <c r="T62" s="9" t="s">
        <v>758</v>
      </c>
      <c r="AG62" s="15">
        <v>56</v>
      </c>
      <c r="AH62" s="21">
        <v>6</v>
      </c>
      <c r="AI62" s="9" t="s">
        <v>1123</v>
      </c>
      <c r="AJ62" s="9" t="s">
        <v>767</v>
      </c>
    </row>
    <row r="63" spans="1:36" ht="15" customHeight="1" x14ac:dyDescent="0.2">
      <c r="A63" s="9" t="s">
        <v>90</v>
      </c>
      <c r="B63" s="9">
        <v>9</v>
      </c>
      <c r="C63" s="9" t="s">
        <v>243</v>
      </c>
      <c r="D63" s="9" t="s">
        <v>707</v>
      </c>
      <c r="E63" s="9" t="s">
        <v>261</v>
      </c>
      <c r="F63" s="9" t="s">
        <v>264</v>
      </c>
      <c r="G63" s="9" t="s">
        <v>1113</v>
      </c>
      <c r="H63" s="10">
        <v>0.2</v>
      </c>
      <c r="I63" s="11">
        <v>76</v>
      </c>
      <c r="J63" s="11">
        <v>46</v>
      </c>
      <c r="K63" s="11">
        <v>41</v>
      </c>
      <c r="L63" s="11">
        <v>216.4</v>
      </c>
      <c r="M63" s="9" t="s">
        <v>265</v>
      </c>
      <c r="O63" s="9" t="s">
        <v>267</v>
      </c>
      <c r="Q63" s="9">
        <v>4</v>
      </c>
      <c r="R63" s="9" t="s">
        <v>268</v>
      </c>
      <c r="S63" s="9" t="s">
        <v>269</v>
      </c>
      <c r="T63" s="9" t="s">
        <v>270</v>
      </c>
      <c r="AG63" s="15">
        <v>84</v>
      </c>
      <c r="AH63" s="21">
        <v>4</v>
      </c>
      <c r="AI63" s="9" t="s">
        <v>1120</v>
      </c>
      <c r="AJ63" s="9" t="s">
        <v>1138</v>
      </c>
    </row>
    <row r="64" spans="1:36" ht="15" customHeight="1" x14ac:dyDescent="0.2">
      <c r="A64" s="9" t="s">
        <v>91</v>
      </c>
      <c r="B64" s="9">
        <v>9</v>
      </c>
      <c r="C64" s="9" t="s">
        <v>243</v>
      </c>
      <c r="D64" s="9" t="s">
        <v>251</v>
      </c>
      <c r="E64" s="9" t="s">
        <v>260</v>
      </c>
      <c r="F64" s="9" t="s">
        <v>264</v>
      </c>
      <c r="G64" s="9" t="s">
        <v>1114</v>
      </c>
      <c r="H64" s="10">
        <v>0.65</v>
      </c>
      <c r="I64" s="11">
        <v>71</v>
      </c>
      <c r="J64" s="11">
        <v>56</v>
      </c>
      <c r="K64" s="11">
        <v>55</v>
      </c>
      <c r="L64" s="11">
        <v>263.39999999999998</v>
      </c>
      <c r="M64" s="9" t="s">
        <v>265</v>
      </c>
      <c r="O64" s="9" t="s">
        <v>266</v>
      </c>
      <c r="P64" s="9" t="s">
        <v>279</v>
      </c>
      <c r="Q64" s="9">
        <v>6</v>
      </c>
      <c r="R64" s="9" t="s">
        <v>268</v>
      </c>
      <c r="S64" s="9" t="s">
        <v>272</v>
      </c>
      <c r="T64" s="9" t="s">
        <v>709</v>
      </c>
      <c r="AG64" s="15">
        <v>82</v>
      </c>
      <c r="AH64" s="21">
        <v>6</v>
      </c>
      <c r="AI64" s="9" t="s">
        <v>1128</v>
      </c>
      <c r="AJ64" s="9" t="s">
        <v>1138</v>
      </c>
    </row>
    <row r="65" spans="1:36" ht="15" customHeight="1" x14ac:dyDescent="0.2">
      <c r="A65" s="9" t="s">
        <v>92</v>
      </c>
      <c r="B65" s="9">
        <v>9</v>
      </c>
      <c r="C65" s="9" t="s">
        <v>243</v>
      </c>
      <c r="D65" s="9" t="s">
        <v>251</v>
      </c>
      <c r="E65" s="9" t="s">
        <v>261</v>
      </c>
      <c r="F65" s="9" t="s">
        <v>264</v>
      </c>
      <c r="G65" s="9" t="s">
        <v>1114</v>
      </c>
      <c r="H65" s="10">
        <v>0.6</v>
      </c>
      <c r="I65" s="11">
        <v>72</v>
      </c>
      <c r="J65" s="11">
        <v>72</v>
      </c>
      <c r="K65" s="11">
        <v>59</v>
      </c>
      <c r="L65" s="11">
        <v>432.6</v>
      </c>
      <c r="M65" s="9" t="s">
        <v>265</v>
      </c>
      <c r="O65" s="9" t="s">
        <v>267</v>
      </c>
      <c r="Q65" s="9">
        <v>3</v>
      </c>
      <c r="R65" s="9" t="s">
        <v>268</v>
      </c>
      <c r="S65" s="9" t="s">
        <v>272</v>
      </c>
      <c r="T65" s="9" t="s">
        <v>270</v>
      </c>
      <c r="AG65" s="15">
        <v>79</v>
      </c>
      <c r="AH65" s="21">
        <v>3</v>
      </c>
      <c r="AI65" s="9" t="s">
        <v>1120</v>
      </c>
      <c r="AJ65" s="9" t="s">
        <v>1138</v>
      </c>
    </row>
    <row r="66" spans="1:36" ht="15" customHeight="1" x14ac:dyDescent="0.2">
      <c r="A66" s="9" t="s">
        <v>93</v>
      </c>
      <c r="B66" s="9">
        <v>9</v>
      </c>
      <c r="C66" s="9" t="s">
        <v>243</v>
      </c>
      <c r="D66" s="9" t="s">
        <v>257</v>
      </c>
      <c r="E66" s="9" t="s">
        <v>261</v>
      </c>
      <c r="F66" s="9" t="s">
        <v>264</v>
      </c>
      <c r="G66" s="9" t="s">
        <v>1114</v>
      </c>
      <c r="H66" s="10">
        <v>0.5</v>
      </c>
      <c r="I66" s="11">
        <v>53</v>
      </c>
      <c r="J66" s="11">
        <v>46</v>
      </c>
      <c r="K66" s="11">
        <v>35</v>
      </c>
      <c r="L66" s="11">
        <v>134.6</v>
      </c>
      <c r="M66" s="9" t="s">
        <v>265</v>
      </c>
      <c r="O66" s="9" t="s">
        <v>267</v>
      </c>
      <c r="Q66" s="9">
        <v>3</v>
      </c>
      <c r="R66" s="9" t="s">
        <v>268</v>
      </c>
      <c r="S66" s="9" t="s">
        <v>272</v>
      </c>
      <c r="T66" s="9" t="s">
        <v>270</v>
      </c>
      <c r="AG66" s="15">
        <v>89</v>
      </c>
      <c r="AH66" s="21">
        <v>3</v>
      </c>
      <c r="AI66" s="9" t="s">
        <v>1120</v>
      </c>
      <c r="AJ66" s="9" t="s">
        <v>1138</v>
      </c>
    </row>
    <row r="67" spans="1:36" ht="15" customHeight="1" x14ac:dyDescent="0.2">
      <c r="A67" s="9" t="s">
        <v>726</v>
      </c>
      <c r="B67" s="9">
        <v>9</v>
      </c>
      <c r="C67" s="9" t="s">
        <v>243</v>
      </c>
      <c r="D67" s="9" t="s">
        <v>251</v>
      </c>
      <c r="E67" s="9" t="s">
        <v>260</v>
      </c>
      <c r="F67" s="9" t="s">
        <v>264</v>
      </c>
      <c r="G67" s="9" t="s">
        <v>1113</v>
      </c>
      <c r="H67" s="10">
        <v>0.15</v>
      </c>
      <c r="I67" s="11">
        <v>56</v>
      </c>
      <c r="J67" s="11">
        <v>53</v>
      </c>
      <c r="K67" s="11">
        <v>41</v>
      </c>
      <c r="L67" s="11">
        <v>104.3</v>
      </c>
      <c r="M67" s="9" t="s">
        <v>727</v>
      </c>
      <c r="N67" s="9" t="s">
        <v>728</v>
      </c>
      <c r="O67" s="9" t="s">
        <v>710</v>
      </c>
      <c r="P67" s="9" t="s">
        <v>275</v>
      </c>
      <c r="Q67" s="9">
        <v>2</v>
      </c>
      <c r="R67" s="9" t="s">
        <v>701</v>
      </c>
      <c r="S67" s="9" t="s">
        <v>269</v>
      </c>
      <c r="T67" s="9" t="s">
        <v>709</v>
      </c>
      <c r="U67" s="9">
        <v>3</v>
      </c>
      <c r="V67" s="9" t="s">
        <v>268</v>
      </c>
      <c r="W67" s="9" t="s">
        <v>272</v>
      </c>
      <c r="X67" s="9" t="s">
        <v>270</v>
      </c>
      <c r="Y67" s="9">
        <v>1</v>
      </c>
      <c r="Z67" s="9" t="s">
        <v>268</v>
      </c>
      <c r="AA67" s="9" t="s">
        <v>272</v>
      </c>
      <c r="AB67" s="9" t="s">
        <v>270</v>
      </c>
      <c r="AC67" s="9">
        <v>1</v>
      </c>
      <c r="AD67" s="9" t="s">
        <v>268</v>
      </c>
      <c r="AE67" s="9" t="s">
        <v>272</v>
      </c>
      <c r="AF67" s="9" t="s">
        <v>270</v>
      </c>
      <c r="AG67" s="15">
        <v>79</v>
      </c>
      <c r="AH67" s="21">
        <v>7</v>
      </c>
      <c r="AI67" s="9" t="s">
        <v>1127</v>
      </c>
      <c r="AJ67" s="9" t="s">
        <v>766</v>
      </c>
    </row>
    <row r="68" spans="1:36" ht="15" customHeight="1" x14ac:dyDescent="0.2">
      <c r="A68" s="9" t="s">
        <v>96</v>
      </c>
      <c r="B68" s="9">
        <v>9</v>
      </c>
      <c r="C68" s="9" t="s">
        <v>243</v>
      </c>
      <c r="D68" s="9" t="s">
        <v>253</v>
      </c>
      <c r="E68" s="9" t="s">
        <v>261</v>
      </c>
      <c r="F68" s="9" t="s">
        <v>264</v>
      </c>
      <c r="G68" s="9" t="s">
        <v>1114</v>
      </c>
      <c r="H68" s="10">
        <v>0.6</v>
      </c>
      <c r="I68" s="11">
        <v>70</v>
      </c>
      <c r="J68" s="11">
        <v>63</v>
      </c>
      <c r="K68" s="11">
        <v>33</v>
      </c>
      <c r="L68" s="11">
        <v>148.30000000000001</v>
      </c>
      <c r="M68" s="9" t="s">
        <v>274</v>
      </c>
      <c r="N68" s="9" t="s">
        <v>282</v>
      </c>
      <c r="O68" s="9" t="s">
        <v>700</v>
      </c>
      <c r="P68" s="9" t="s">
        <v>699</v>
      </c>
      <c r="Q68" s="9">
        <v>4</v>
      </c>
      <c r="R68" s="9" t="s">
        <v>268</v>
      </c>
      <c r="S68" s="9" t="s">
        <v>272</v>
      </c>
      <c r="T68" s="9" t="s">
        <v>278</v>
      </c>
      <c r="U68" s="9">
        <v>3</v>
      </c>
      <c r="V68" s="9" t="s">
        <v>268</v>
      </c>
      <c r="W68" s="9" t="s">
        <v>269</v>
      </c>
      <c r="X68" s="9" t="s">
        <v>270</v>
      </c>
      <c r="AG68" s="15">
        <v>72</v>
      </c>
      <c r="AH68" s="21">
        <v>7</v>
      </c>
      <c r="AI68" s="9" t="s">
        <v>1126</v>
      </c>
      <c r="AJ68" s="9" t="s">
        <v>1135</v>
      </c>
    </row>
    <row r="69" spans="1:36" ht="15" customHeight="1" x14ac:dyDescent="0.2">
      <c r="A69" s="9" t="s">
        <v>97</v>
      </c>
      <c r="B69" s="9">
        <v>9</v>
      </c>
      <c r="C69" s="9" t="s">
        <v>243</v>
      </c>
      <c r="D69" s="9" t="s">
        <v>251</v>
      </c>
      <c r="E69" s="9" t="s">
        <v>261</v>
      </c>
      <c r="F69" s="9" t="s">
        <v>264</v>
      </c>
      <c r="G69" s="9" t="s">
        <v>1114</v>
      </c>
      <c r="H69" s="10">
        <v>0.7</v>
      </c>
      <c r="I69" s="11">
        <v>73</v>
      </c>
      <c r="J69" s="11">
        <v>53</v>
      </c>
      <c r="K69" s="11">
        <v>37</v>
      </c>
      <c r="L69" s="11">
        <v>166.7</v>
      </c>
      <c r="M69" s="9" t="s">
        <v>265</v>
      </c>
      <c r="O69" s="9" t="s">
        <v>267</v>
      </c>
      <c r="Q69" s="9">
        <v>4</v>
      </c>
      <c r="R69" s="9" t="s">
        <v>268</v>
      </c>
      <c r="S69" s="9" t="s">
        <v>272</v>
      </c>
      <c r="T69" s="9" t="s">
        <v>270</v>
      </c>
      <c r="AG69" s="15">
        <v>78</v>
      </c>
      <c r="AH69" s="21">
        <v>4</v>
      </c>
      <c r="AI69" s="9" t="s">
        <v>1120</v>
      </c>
      <c r="AJ69" s="9" t="s">
        <v>1138</v>
      </c>
    </row>
    <row r="70" spans="1:36" ht="15" customHeight="1" x14ac:dyDescent="0.2">
      <c r="A70" s="9" t="s">
        <v>98</v>
      </c>
      <c r="B70" s="9">
        <v>9</v>
      </c>
      <c r="C70" s="9" t="s">
        <v>243</v>
      </c>
      <c r="D70" s="9" t="s">
        <v>257</v>
      </c>
      <c r="E70" s="9" t="s">
        <v>260</v>
      </c>
      <c r="F70" s="9" t="s">
        <v>264</v>
      </c>
      <c r="G70" s="9" t="s">
        <v>1113</v>
      </c>
      <c r="H70" s="10">
        <v>0.55000000000000004</v>
      </c>
      <c r="I70" s="11">
        <v>67</v>
      </c>
      <c r="J70" s="11">
        <v>56</v>
      </c>
      <c r="K70" s="11">
        <v>30</v>
      </c>
      <c r="L70" s="11">
        <v>157</v>
      </c>
      <c r="M70" s="9" t="s">
        <v>274</v>
      </c>
      <c r="N70" s="9" t="s">
        <v>279</v>
      </c>
      <c r="O70" s="9" t="s">
        <v>267</v>
      </c>
      <c r="Q70" s="9">
        <v>2</v>
      </c>
      <c r="R70" s="9" t="s">
        <v>268</v>
      </c>
      <c r="S70" s="9" t="s">
        <v>272</v>
      </c>
      <c r="T70" s="9" t="s">
        <v>270</v>
      </c>
      <c r="U70" s="9">
        <v>2</v>
      </c>
      <c r="V70" s="9" t="s">
        <v>268</v>
      </c>
      <c r="W70" s="9" t="s">
        <v>272</v>
      </c>
      <c r="X70" s="9" t="s">
        <v>270</v>
      </c>
      <c r="AG70" s="15">
        <v>74</v>
      </c>
      <c r="AH70" s="21">
        <v>4</v>
      </c>
      <c r="AI70" s="9" t="s">
        <v>1120</v>
      </c>
      <c r="AJ70" s="9" t="s">
        <v>1138</v>
      </c>
    </row>
    <row r="71" spans="1:36" ht="15" customHeight="1" x14ac:dyDescent="0.2">
      <c r="A71" s="9" t="s">
        <v>271</v>
      </c>
      <c r="B71" s="9">
        <v>9</v>
      </c>
      <c r="C71" s="9" t="s">
        <v>243</v>
      </c>
      <c r="D71" s="9" t="s">
        <v>251</v>
      </c>
      <c r="E71" s="9" t="s">
        <v>261</v>
      </c>
      <c r="F71" s="9" t="s">
        <v>264</v>
      </c>
      <c r="G71" s="9" t="s">
        <v>1114</v>
      </c>
      <c r="H71" s="10">
        <v>0.4</v>
      </c>
      <c r="I71" s="11">
        <v>93</v>
      </c>
      <c r="J71" s="11">
        <v>63</v>
      </c>
      <c r="K71" s="11">
        <v>48</v>
      </c>
      <c r="L71" s="11">
        <v>364.8</v>
      </c>
      <c r="M71" s="9" t="s">
        <v>265</v>
      </c>
      <c r="O71" s="9" t="s">
        <v>267</v>
      </c>
      <c r="Q71" s="9">
        <v>7</v>
      </c>
      <c r="R71" s="9" t="s">
        <v>268</v>
      </c>
      <c r="S71" s="9" t="s">
        <v>272</v>
      </c>
      <c r="T71" s="9" t="s">
        <v>270</v>
      </c>
      <c r="AG71" s="15">
        <v>82</v>
      </c>
      <c r="AH71" s="21">
        <v>7</v>
      </c>
      <c r="AI71" s="9" t="s">
        <v>1120</v>
      </c>
      <c r="AJ71" s="9" t="s">
        <v>1138</v>
      </c>
    </row>
    <row r="72" spans="1:36" ht="15" customHeight="1" x14ac:dyDescent="0.2">
      <c r="A72" s="9" t="s">
        <v>100</v>
      </c>
      <c r="B72" s="9">
        <v>9</v>
      </c>
      <c r="C72" s="9" t="s">
        <v>243</v>
      </c>
      <c r="D72" s="9" t="s">
        <v>251</v>
      </c>
      <c r="E72" s="9" t="s">
        <v>260</v>
      </c>
      <c r="F72" s="9" t="s">
        <v>264</v>
      </c>
      <c r="G72" s="9" t="s">
        <v>1114</v>
      </c>
      <c r="H72" s="10">
        <v>0.4</v>
      </c>
      <c r="I72" s="11">
        <v>67</v>
      </c>
      <c r="J72" s="11">
        <v>54</v>
      </c>
      <c r="K72" s="11">
        <v>36</v>
      </c>
      <c r="L72" s="11">
        <v>193.1</v>
      </c>
      <c r="M72" s="9" t="s">
        <v>265</v>
      </c>
      <c r="O72" s="9" t="s">
        <v>710</v>
      </c>
      <c r="P72" s="9" t="s">
        <v>275</v>
      </c>
      <c r="Q72" s="9">
        <v>9</v>
      </c>
      <c r="R72" s="9" t="s">
        <v>701</v>
      </c>
      <c r="S72" s="9" t="s">
        <v>269</v>
      </c>
      <c r="T72" s="9" t="s">
        <v>758</v>
      </c>
      <c r="AG72" s="15">
        <v>68</v>
      </c>
      <c r="AH72" s="21">
        <v>9</v>
      </c>
      <c r="AI72" s="9" t="s">
        <v>1123</v>
      </c>
      <c r="AJ72" s="9" t="s">
        <v>1133</v>
      </c>
    </row>
    <row r="73" spans="1:36" ht="15" customHeight="1" x14ac:dyDescent="0.2">
      <c r="A73" s="9" t="s">
        <v>101</v>
      </c>
      <c r="B73" s="9">
        <v>9</v>
      </c>
      <c r="C73" s="9" t="s">
        <v>243</v>
      </c>
      <c r="D73" s="9" t="s">
        <v>251</v>
      </c>
      <c r="E73" s="9" t="s">
        <v>260</v>
      </c>
      <c r="F73" s="9" t="s">
        <v>264</v>
      </c>
      <c r="G73" s="9" t="s">
        <v>1114</v>
      </c>
      <c r="H73" s="10">
        <v>0.6</v>
      </c>
      <c r="I73" s="11">
        <v>61</v>
      </c>
      <c r="J73" s="11">
        <v>50</v>
      </c>
      <c r="K73" s="11">
        <v>42</v>
      </c>
      <c r="L73" s="11">
        <v>219</v>
      </c>
      <c r="M73" s="9" t="s">
        <v>274</v>
      </c>
      <c r="N73" s="9" t="s">
        <v>279</v>
      </c>
      <c r="O73" s="9" t="s">
        <v>267</v>
      </c>
      <c r="Q73" s="9">
        <v>3</v>
      </c>
      <c r="R73" s="9" t="s">
        <v>268</v>
      </c>
      <c r="S73" s="9" t="s">
        <v>272</v>
      </c>
      <c r="T73" s="9" t="s">
        <v>270</v>
      </c>
      <c r="U73" s="9">
        <v>2</v>
      </c>
      <c r="V73" s="9" t="s">
        <v>268</v>
      </c>
      <c r="W73" s="9" t="s">
        <v>272</v>
      </c>
      <c r="X73" s="9" t="s">
        <v>270</v>
      </c>
      <c r="AG73" s="15">
        <v>84</v>
      </c>
      <c r="AH73" s="21">
        <v>5</v>
      </c>
      <c r="AI73" s="9" t="s">
        <v>1120</v>
      </c>
      <c r="AJ73" s="9" t="s">
        <v>1138</v>
      </c>
    </row>
    <row r="74" spans="1:36" ht="15" customHeight="1" x14ac:dyDescent="0.2">
      <c r="A74" s="9" t="s">
        <v>103</v>
      </c>
      <c r="B74" s="9">
        <v>9</v>
      </c>
      <c r="C74" s="9" t="s">
        <v>243</v>
      </c>
      <c r="D74" s="9" t="s">
        <v>251</v>
      </c>
      <c r="E74" s="9" t="s">
        <v>261</v>
      </c>
      <c r="F74" s="9" t="s">
        <v>264</v>
      </c>
      <c r="G74" s="9" t="s">
        <v>1114</v>
      </c>
      <c r="H74" s="10">
        <v>0.6</v>
      </c>
      <c r="I74" s="11">
        <v>66</v>
      </c>
      <c r="J74" s="11">
        <v>56</v>
      </c>
      <c r="K74" s="11">
        <v>38</v>
      </c>
      <c r="L74" s="11">
        <v>178.4</v>
      </c>
      <c r="M74" s="9" t="s">
        <v>274</v>
      </c>
      <c r="N74" s="9" t="s">
        <v>279</v>
      </c>
      <c r="O74" s="9" t="s">
        <v>267</v>
      </c>
      <c r="Q74" s="9">
        <v>3</v>
      </c>
      <c r="R74" s="9" t="s">
        <v>268</v>
      </c>
      <c r="S74" s="9" t="s">
        <v>272</v>
      </c>
      <c r="T74" s="9" t="s">
        <v>270</v>
      </c>
      <c r="U74" s="9">
        <v>5</v>
      </c>
      <c r="V74" s="9" t="s">
        <v>268</v>
      </c>
      <c r="W74" s="9" t="s">
        <v>272</v>
      </c>
      <c r="X74" s="9" t="s">
        <v>270</v>
      </c>
      <c r="AG74" s="15">
        <v>82</v>
      </c>
      <c r="AH74" s="21">
        <v>8</v>
      </c>
      <c r="AI74" s="9" t="s">
        <v>1120</v>
      </c>
      <c r="AJ74" s="9" t="s">
        <v>1138</v>
      </c>
    </row>
    <row r="75" spans="1:36" ht="15" customHeight="1" x14ac:dyDescent="0.2">
      <c r="A75" s="9" t="s">
        <v>104</v>
      </c>
      <c r="B75" s="9">
        <v>9</v>
      </c>
      <c r="C75" s="9" t="s">
        <v>243</v>
      </c>
      <c r="D75" s="9" t="s">
        <v>251</v>
      </c>
      <c r="E75" s="9" t="s">
        <v>261</v>
      </c>
      <c r="F75" s="9" t="s">
        <v>264</v>
      </c>
      <c r="G75" s="9" t="s">
        <v>1114</v>
      </c>
      <c r="H75" s="10">
        <v>0.6</v>
      </c>
      <c r="I75" s="11">
        <v>70</v>
      </c>
      <c r="J75" s="11">
        <v>65</v>
      </c>
      <c r="K75" s="11">
        <v>38</v>
      </c>
      <c r="L75" s="11">
        <v>287</v>
      </c>
      <c r="M75" s="9" t="s">
        <v>698</v>
      </c>
      <c r="N75" s="9" t="s">
        <v>699</v>
      </c>
      <c r="O75" s="9" t="s">
        <v>700</v>
      </c>
      <c r="P75" s="9" t="s">
        <v>699</v>
      </c>
      <c r="Q75" s="9">
        <v>5</v>
      </c>
      <c r="R75" s="9" t="s">
        <v>268</v>
      </c>
      <c r="S75" s="9" t="s">
        <v>272</v>
      </c>
      <c r="T75" s="9" t="s">
        <v>270</v>
      </c>
      <c r="U75" s="9">
        <v>1</v>
      </c>
      <c r="V75" s="9" t="s">
        <v>268</v>
      </c>
      <c r="W75" s="9" t="s">
        <v>272</v>
      </c>
      <c r="X75" s="9" t="s">
        <v>270</v>
      </c>
      <c r="Y75" s="9">
        <v>3</v>
      </c>
      <c r="Z75" s="9" t="s">
        <v>701</v>
      </c>
      <c r="AA75" s="9" t="s">
        <v>269</v>
      </c>
      <c r="AB75" s="9" t="s">
        <v>270</v>
      </c>
      <c r="AG75" s="15">
        <v>87</v>
      </c>
      <c r="AH75" s="21">
        <v>9</v>
      </c>
      <c r="AI75" s="9" t="s">
        <v>1127</v>
      </c>
      <c r="AJ75" s="9" t="s">
        <v>766</v>
      </c>
    </row>
    <row r="76" spans="1:36" ht="15" customHeight="1" x14ac:dyDescent="0.2">
      <c r="A76" s="9" t="s">
        <v>105</v>
      </c>
      <c r="B76" s="9">
        <v>9</v>
      </c>
      <c r="C76" s="9" t="s">
        <v>243</v>
      </c>
      <c r="D76" s="9" t="s">
        <v>251</v>
      </c>
      <c r="E76" s="9" t="s">
        <v>261</v>
      </c>
      <c r="F76" s="9" t="s">
        <v>264</v>
      </c>
      <c r="G76" s="9" t="s">
        <v>1114</v>
      </c>
      <c r="H76" s="10">
        <v>0.6</v>
      </c>
      <c r="I76" s="11">
        <v>64</v>
      </c>
      <c r="J76" s="11">
        <v>53</v>
      </c>
      <c r="K76" s="11">
        <v>52</v>
      </c>
      <c r="L76" s="11">
        <v>212.8</v>
      </c>
      <c r="M76" s="9" t="s">
        <v>274</v>
      </c>
      <c r="N76" s="9" t="s">
        <v>279</v>
      </c>
      <c r="O76" s="9" t="s">
        <v>267</v>
      </c>
      <c r="Q76" s="9">
        <v>3</v>
      </c>
      <c r="R76" s="9" t="s">
        <v>268</v>
      </c>
      <c r="S76" s="9" t="s">
        <v>272</v>
      </c>
      <c r="T76" s="9" t="s">
        <v>270</v>
      </c>
      <c r="U76" s="9">
        <v>1</v>
      </c>
      <c r="V76" s="9" t="s">
        <v>268</v>
      </c>
      <c r="W76" s="9" t="s">
        <v>272</v>
      </c>
      <c r="X76" s="9" t="s">
        <v>270</v>
      </c>
      <c r="AG76" s="15">
        <v>81</v>
      </c>
      <c r="AH76" s="21">
        <v>4</v>
      </c>
      <c r="AI76" s="9" t="s">
        <v>1120</v>
      </c>
      <c r="AJ76" s="9" t="s">
        <v>1138</v>
      </c>
    </row>
    <row r="77" spans="1:36" ht="15" customHeight="1" x14ac:dyDescent="0.2">
      <c r="A77" s="9" t="s">
        <v>106</v>
      </c>
      <c r="B77" s="9">
        <v>9</v>
      </c>
      <c r="C77" s="9" t="s">
        <v>243</v>
      </c>
      <c r="D77" s="9" t="s">
        <v>257</v>
      </c>
      <c r="E77" s="9" t="s">
        <v>262</v>
      </c>
      <c r="F77" s="9" t="s">
        <v>264</v>
      </c>
      <c r="G77" s="9" t="s">
        <v>1114</v>
      </c>
      <c r="H77" s="10">
        <v>0.6</v>
      </c>
      <c r="I77" s="11">
        <v>65</v>
      </c>
      <c r="J77" s="11">
        <v>58</v>
      </c>
      <c r="K77" s="11">
        <v>51</v>
      </c>
      <c r="L77" s="11">
        <v>330.7</v>
      </c>
      <c r="M77" s="9" t="s">
        <v>265</v>
      </c>
      <c r="O77" s="9" t="s">
        <v>267</v>
      </c>
      <c r="Q77" s="9">
        <v>4</v>
      </c>
      <c r="R77" s="9" t="s">
        <v>268</v>
      </c>
      <c r="S77" s="9" t="s">
        <v>272</v>
      </c>
      <c r="T77" s="9" t="s">
        <v>270</v>
      </c>
      <c r="AG77" s="15">
        <v>76</v>
      </c>
      <c r="AH77" s="21">
        <v>4</v>
      </c>
      <c r="AI77" s="9" t="s">
        <v>1120</v>
      </c>
      <c r="AJ77" s="9" t="s">
        <v>1138</v>
      </c>
    </row>
    <row r="78" spans="1:36" ht="15" customHeight="1" x14ac:dyDescent="0.2">
      <c r="A78" s="9" t="s">
        <v>107</v>
      </c>
      <c r="B78" s="9">
        <v>9</v>
      </c>
      <c r="C78" s="9" t="s">
        <v>243</v>
      </c>
      <c r="D78" s="9" t="s">
        <v>251</v>
      </c>
      <c r="E78" s="9" t="s">
        <v>260</v>
      </c>
      <c r="F78" s="9" t="s">
        <v>264</v>
      </c>
      <c r="G78" s="9" t="s">
        <v>1114</v>
      </c>
      <c r="H78" s="10">
        <v>0.6</v>
      </c>
      <c r="I78" s="11">
        <v>66</v>
      </c>
      <c r="J78" s="11">
        <v>56</v>
      </c>
      <c r="K78" s="11">
        <v>35</v>
      </c>
      <c r="L78" s="11">
        <v>135.30000000000001</v>
      </c>
      <c r="M78" s="9" t="s">
        <v>265</v>
      </c>
      <c r="O78" s="9" t="s">
        <v>710</v>
      </c>
      <c r="P78" s="9" t="s">
        <v>275</v>
      </c>
      <c r="Q78" s="9">
        <v>6</v>
      </c>
      <c r="R78" s="9" t="s">
        <v>701</v>
      </c>
      <c r="S78" s="9" t="s">
        <v>269</v>
      </c>
      <c r="T78" s="9" t="s">
        <v>758</v>
      </c>
      <c r="AG78" s="15">
        <v>80</v>
      </c>
      <c r="AH78" s="21">
        <v>6</v>
      </c>
      <c r="AI78" s="9" t="s">
        <v>1123</v>
      </c>
      <c r="AJ78" s="9" t="s">
        <v>767</v>
      </c>
    </row>
    <row r="79" spans="1:36" ht="15" customHeight="1" x14ac:dyDescent="0.2">
      <c r="A79" s="9" t="s">
        <v>108</v>
      </c>
      <c r="B79" s="9">
        <v>9</v>
      </c>
      <c r="C79" s="9" t="s">
        <v>243</v>
      </c>
      <c r="D79" s="9" t="s">
        <v>251</v>
      </c>
      <c r="E79" s="9" t="s">
        <v>260</v>
      </c>
      <c r="F79" s="9" t="s">
        <v>264</v>
      </c>
      <c r="G79" s="9" t="s">
        <v>1110</v>
      </c>
      <c r="H79" s="10">
        <v>0.25</v>
      </c>
      <c r="I79" s="11">
        <v>60</v>
      </c>
      <c r="J79" s="11">
        <v>49</v>
      </c>
      <c r="K79" s="11">
        <v>27</v>
      </c>
      <c r="L79" s="11">
        <v>74.5</v>
      </c>
      <c r="M79" s="9" t="s">
        <v>274</v>
      </c>
      <c r="O79" s="9" t="s">
        <v>710</v>
      </c>
      <c r="P79" s="9" t="s">
        <v>699</v>
      </c>
      <c r="Q79" s="9">
        <v>2</v>
      </c>
      <c r="R79" s="9" t="s">
        <v>701</v>
      </c>
      <c r="S79" s="9" t="s">
        <v>269</v>
      </c>
      <c r="T79" s="9" t="s">
        <v>278</v>
      </c>
      <c r="U79" s="9">
        <v>3</v>
      </c>
      <c r="V79" s="9" t="s">
        <v>701</v>
      </c>
      <c r="W79" s="9" t="s">
        <v>269</v>
      </c>
      <c r="X79" s="9" t="s">
        <v>729</v>
      </c>
      <c r="AG79" s="15">
        <v>65</v>
      </c>
      <c r="AH79" s="21">
        <v>5</v>
      </c>
      <c r="AI79" s="9" t="s">
        <v>1141</v>
      </c>
      <c r="AJ79" s="9" t="s">
        <v>1133</v>
      </c>
    </row>
    <row r="80" spans="1:36" ht="15" customHeight="1" x14ac:dyDescent="0.2">
      <c r="A80" s="9" t="s">
        <v>109</v>
      </c>
      <c r="B80" s="9">
        <v>9</v>
      </c>
      <c r="C80" s="9" t="s">
        <v>243</v>
      </c>
      <c r="D80" s="9" t="s">
        <v>258</v>
      </c>
      <c r="E80" s="9" t="s">
        <v>261</v>
      </c>
      <c r="F80" s="9" t="s">
        <v>264</v>
      </c>
      <c r="G80" s="9" t="s">
        <v>1114</v>
      </c>
      <c r="H80" s="10">
        <v>0.55000000000000004</v>
      </c>
      <c r="I80" s="11">
        <v>75</v>
      </c>
      <c r="J80" s="11">
        <v>72</v>
      </c>
      <c r="K80" s="11">
        <v>44</v>
      </c>
      <c r="L80" s="11">
        <v>256.7</v>
      </c>
      <c r="M80" s="9" t="s">
        <v>698</v>
      </c>
      <c r="N80" s="9" t="s">
        <v>699</v>
      </c>
      <c r="O80" s="9" t="s">
        <v>267</v>
      </c>
      <c r="Q80" s="9">
        <v>4</v>
      </c>
      <c r="R80" s="9" t="s">
        <v>268</v>
      </c>
      <c r="S80" s="9" t="s">
        <v>272</v>
      </c>
      <c r="T80" s="9" t="s">
        <v>270</v>
      </c>
      <c r="U80" s="9">
        <v>5</v>
      </c>
      <c r="V80" s="9" t="s">
        <v>268</v>
      </c>
      <c r="W80" s="9" t="s">
        <v>272</v>
      </c>
      <c r="X80" s="9" t="s">
        <v>270</v>
      </c>
      <c r="Y80" s="9">
        <v>2</v>
      </c>
      <c r="Z80" s="9" t="s">
        <v>268</v>
      </c>
      <c r="AA80" s="9" t="s">
        <v>272</v>
      </c>
      <c r="AB80" s="9" t="s">
        <v>270</v>
      </c>
      <c r="AG80" s="15">
        <v>61</v>
      </c>
      <c r="AH80" s="21">
        <v>11</v>
      </c>
      <c r="AI80" s="9" t="s">
        <v>1120</v>
      </c>
      <c r="AJ80" s="9" t="s">
        <v>1138</v>
      </c>
    </row>
    <row r="81" spans="1:36" ht="15" customHeight="1" x14ac:dyDescent="0.2">
      <c r="A81" s="9" t="s">
        <v>111</v>
      </c>
      <c r="B81" s="9">
        <v>9</v>
      </c>
      <c r="C81" s="9" t="s">
        <v>243</v>
      </c>
      <c r="D81" s="9" t="s">
        <v>253</v>
      </c>
      <c r="E81" s="9" t="s">
        <v>262</v>
      </c>
      <c r="F81" s="9" t="s">
        <v>264</v>
      </c>
      <c r="G81" s="9" t="s">
        <v>1114</v>
      </c>
      <c r="H81" s="10">
        <v>0.55000000000000004</v>
      </c>
      <c r="I81" s="11">
        <v>79</v>
      </c>
      <c r="J81" s="11">
        <v>68</v>
      </c>
      <c r="K81" s="11">
        <v>42</v>
      </c>
      <c r="L81" s="11">
        <v>266.39999999999998</v>
      </c>
      <c r="M81" s="9" t="s">
        <v>265</v>
      </c>
      <c r="O81" s="9" t="s">
        <v>267</v>
      </c>
      <c r="Q81" s="9">
        <v>4</v>
      </c>
      <c r="R81" s="9" t="s">
        <v>268</v>
      </c>
      <c r="S81" s="9" t="s">
        <v>272</v>
      </c>
      <c r="T81" s="9" t="s">
        <v>270</v>
      </c>
      <c r="AG81" s="15">
        <v>76</v>
      </c>
      <c r="AH81" s="21">
        <v>4</v>
      </c>
      <c r="AI81" s="9" t="s">
        <v>1120</v>
      </c>
      <c r="AJ81" s="9" t="s">
        <v>1138</v>
      </c>
    </row>
    <row r="82" spans="1:36" ht="15" customHeight="1" x14ac:dyDescent="0.2">
      <c r="A82" s="9" t="s">
        <v>112</v>
      </c>
      <c r="B82" s="9">
        <v>9</v>
      </c>
      <c r="C82" s="9" t="s">
        <v>243</v>
      </c>
      <c r="D82" s="9" t="s">
        <v>251</v>
      </c>
      <c r="E82" s="9" t="s">
        <v>261</v>
      </c>
      <c r="F82" s="9" t="s">
        <v>264</v>
      </c>
      <c r="G82" s="9" t="s">
        <v>1114</v>
      </c>
      <c r="H82" s="10">
        <v>0.55000000000000004</v>
      </c>
      <c r="I82" s="11">
        <v>62</v>
      </c>
      <c r="J82" s="11">
        <v>48</v>
      </c>
      <c r="K82" s="11">
        <v>34</v>
      </c>
      <c r="L82" s="11">
        <v>114.1</v>
      </c>
      <c r="M82" s="9" t="s">
        <v>274</v>
      </c>
      <c r="N82" s="9" t="s">
        <v>279</v>
      </c>
      <c r="O82" s="9" t="s">
        <v>266</v>
      </c>
      <c r="P82" s="9" t="s">
        <v>279</v>
      </c>
      <c r="Q82" s="9">
        <v>1</v>
      </c>
      <c r="R82" s="9" t="s">
        <v>268</v>
      </c>
      <c r="S82" s="9" t="s">
        <v>269</v>
      </c>
      <c r="T82" s="9" t="s">
        <v>270</v>
      </c>
      <c r="U82" s="9">
        <v>1</v>
      </c>
      <c r="V82" s="9" t="s">
        <v>701</v>
      </c>
      <c r="W82" s="9" t="s">
        <v>269</v>
      </c>
      <c r="X82" s="9" t="s">
        <v>270</v>
      </c>
      <c r="AG82" s="15">
        <v>82</v>
      </c>
      <c r="AH82" s="21">
        <v>2</v>
      </c>
      <c r="AI82" s="9" t="s">
        <v>1125</v>
      </c>
      <c r="AJ82" s="9" t="s">
        <v>1135</v>
      </c>
    </row>
    <row r="83" spans="1:36" ht="15" customHeight="1" x14ac:dyDescent="0.2">
      <c r="A83" s="9" t="s">
        <v>113</v>
      </c>
      <c r="B83" s="9">
        <v>9</v>
      </c>
      <c r="C83" s="9" t="s">
        <v>243</v>
      </c>
      <c r="D83" s="9" t="s">
        <v>251</v>
      </c>
      <c r="E83" s="9" t="s">
        <v>260</v>
      </c>
      <c r="F83" s="9" t="s">
        <v>264</v>
      </c>
      <c r="G83" s="9" t="s">
        <v>1114</v>
      </c>
      <c r="H83" s="10">
        <v>0.5</v>
      </c>
      <c r="I83" s="11">
        <v>63</v>
      </c>
      <c r="J83" s="11">
        <v>56</v>
      </c>
      <c r="K83" s="11">
        <v>41</v>
      </c>
      <c r="L83" s="11">
        <v>153.4</v>
      </c>
      <c r="M83" s="9" t="s">
        <v>698</v>
      </c>
      <c r="N83" s="9" t="s">
        <v>699</v>
      </c>
      <c r="O83" s="9" t="s">
        <v>700</v>
      </c>
      <c r="P83" s="9" t="s">
        <v>699</v>
      </c>
      <c r="Q83" s="9">
        <v>7</v>
      </c>
      <c r="R83" s="9" t="s">
        <v>268</v>
      </c>
      <c r="S83" s="9" t="s">
        <v>272</v>
      </c>
      <c r="T83" s="9" t="s">
        <v>278</v>
      </c>
      <c r="U83" s="9">
        <v>2</v>
      </c>
      <c r="V83" s="9" t="s">
        <v>268</v>
      </c>
      <c r="W83" s="9" t="s">
        <v>272</v>
      </c>
      <c r="X83" s="9" t="s">
        <v>278</v>
      </c>
      <c r="Y83" s="9">
        <v>1</v>
      </c>
      <c r="Z83" s="9" t="s">
        <v>701</v>
      </c>
      <c r="AA83" s="9" t="s">
        <v>269</v>
      </c>
      <c r="AB83" s="9" t="s">
        <v>270</v>
      </c>
      <c r="AG83" s="15">
        <v>88</v>
      </c>
      <c r="AH83" s="21">
        <v>10</v>
      </c>
      <c r="AI83" s="9" t="s">
        <v>1127</v>
      </c>
      <c r="AJ83" s="9" t="s">
        <v>766</v>
      </c>
    </row>
    <row r="84" spans="1:36" ht="15" customHeight="1" x14ac:dyDescent="0.2">
      <c r="A84" s="9" t="s">
        <v>114</v>
      </c>
      <c r="B84" s="9">
        <v>9</v>
      </c>
      <c r="C84" s="9" t="s">
        <v>243</v>
      </c>
      <c r="D84" s="9" t="s">
        <v>251</v>
      </c>
      <c r="E84" s="9" t="s">
        <v>260</v>
      </c>
      <c r="F84" s="9" t="s">
        <v>264</v>
      </c>
      <c r="G84" s="9" t="s">
        <v>1113</v>
      </c>
      <c r="H84" s="10">
        <v>0.45</v>
      </c>
      <c r="I84" s="11">
        <v>55</v>
      </c>
      <c r="J84" s="11">
        <v>48</v>
      </c>
      <c r="K84" s="11">
        <v>42</v>
      </c>
      <c r="L84" s="11">
        <v>117.3</v>
      </c>
      <c r="M84" s="9" t="s">
        <v>698</v>
      </c>
      <c r="N84" s="9" t="s">
        <v>699</v>
      </c>
      <c r="O84" s="9" t="s">
        <v>700</v>
      </c>
      <c r="P84" s="9" t="s">
        <v>699</v>
      </c>
      <c r="Q84" s="9">
        <v>2</v>
      </c>
      <c r="R84" s="9" t="s">
        <v>268</v>
      </c>
      <c r="S84" s="9" t="s">
        <v>269</v>
      </c>
      <c r="T84" s="9" t="s">
        <v>270</v>
      </c>
      <c r="U84" s="9">
        <v>2</v>
      </c>
      <c r="V84" s="9" t="s">
        <v>268</v>
      </c>
      <c r="W84" s="9" t="s">
        <v>272</v>
      </c>
      <c r="X84" s="9" t="s">
        <v>270</v>
      </c>
      <c r="Y84" s="9">
        <v>2</v>
      </c>
      <c r="Z84" s="9" t="s">
        <v>701</v>
      </c>
      <c r="AA84" s="9" t="s">
        <v>269</v>
      </c>
      <c r="AB84" s="9" t="s">
        <v>278</v>
      </c>
      <c r="AG84" s="15">
        <v>64</v>
      </c>
      <c r="AH84" s="21">
        <v>6</v>
      </c>
      <c r="AI84" s="9" t="s">
        <v>1127</v>
      </c>
      <c r="AJ84" s="9" t="s">
        <v>766</v>
      </c>
    </row>
    <row r="85" spans="1:36" ht="15" customHeight="1" x14ac:dyDescent="0.2">
      <c r="A85" s="9" t="s">
        <v>115</v>
      </c>
      <c r="B85" s="9">
        <v>9</v>
      </c>
      <c r="C85" s="9" t="s">
        <v>243</v>
      </c>
      <c r="D85" s="9" t="s">
        <v>251</v>
      </c>
      <c r="E85" s="9" t="s">
        <v>261</v>
      </c>
      <c r="F85" s="9" t="s">
        <v>264</v>
      </c>
      <c r="G85" s="9" t="s">
        <v>1114</v>
      </c>
      <c r="H85" s="10">
        <v>0.6</v>
      </c>
      <c r="I85" s="11">
        <v>76</v>
      </c>
      <c r="J85" s="11">
        <v>54</v>
      </c>
      <c r="K85" s="11">
        <v>43</v>
      </c>
      <c r="L85" s="11">
        <v>226.9</v>
      </c>
      <c r="M85" s="9" t="s">
        <v>265</v>
      </c>
      <c r="O85" s="9" t="s">
        <v>267</v>
      </c>
      <c r="Q85" s="9">
        <v>8</v>
      </c>
      <c r="R85" s="9" t="s">
        <v>268</v>
      </c>
      <c r="S85" s="9" t="s">
        <v>272</v>
      </c>
      <c r="T85" s="9" t="s">
        <v>270</v>
      </c>
      <c r="AG85" s="15">
        <v>86</v>
      </c>
      <c r="AH85" s="21">
        <v>8</v>
      </c>
      <c r="AI85" s="9" t="s">
        <v>1120</v>
      </c>
      <c r="AJ85" s="9" t="s">
        <v>1138</v>
      </c>
    </row>
    <row r="86" spans="1:36" ht="15" customHeight="1" x14ac:dyDescent="0.2">
      <c r="A86" s="9" t="s">
        <v>116</v>
      </c>
      <c r="B86" s="9">
        <v>9</v>
      </c>
      <c r="C86" s="9" t="s">
        <v>243</v>
      </c>
      <c r="D86" s="9" t="s">
        <v>251</v>
      </c>
      <c r="E86" s="9" t="s">
        <v>260</v>
      </c>
      <c r="F86" s="9" t="s">
        <v>264</v>
      </c>
      <c r="G86" s="9" t="s">
        <v>1114</v>
      </c>
      <c r="H86" s="10">
        <v>0.7</v>
      </c>
      <c r="I86" s="11">
        <v>57</v>
      </c>
      <c r="J86" s="11">
        <v>45</v>
      </c>
      <c r="K86" s="11">
        <v>40</v>
      </c>
      <c r="L86" s="11">
        <v>188</v>
      </c>
      <c r="M86" s="9" t="s">
        <v>265</v>
      </c>
      <c r="O86" s="9" t="s">
        <v>700</v>
      </c>
      <c r="P86" s="9" t="s">
        <v>699</v>
      </c>
      <c r="Q86" s="9">
        <v>6</v>
      </c>
      <c r="R86" s="9" t="s">
        <v>268</v>
      </c>
      <c r="S86" s="9" t="s">
        <v>272</v>
      </c>
      <c r="T86" s="9" t="s">
        <v>729</v>
      </c>
      <c r="AG86" s="15">
        <v>75</v>
      </c>
      <c r="AH86" s="21">
        <v>6</v>
      </c>
      <c r="AI86" s="9" t="s">
        <v>1129</v>
      </c>
      <c r="AJ86" s="9" t="s">
        <v>1138</v>
      </c>
    </row>
    <row r="87" spans="1:36" ht="15" customHeight="1" x14ac:dyDescent="0.2">
      <c r="A87" s="9" t="s">
        <v>117</v>
      </c>
      <c r="B87" s="9">
        <v>9</v>
      </c>
      <c r="C87" s="9" t="s">
        <v>243</v>
      </c>
      <c r="D87" s="9" t="s">
        <v>251</v>
      </c>
      <c r="E87" s="9" t="s">
        <v>260</v>
      </c>
      <c r="F87" s="9" t="s">
        <v>264</v>
      </c>
      <c r="G87" s="9" t="s">
        <v>1114</v>
      </c>
      <c r="H87" s="10">
        <v>0.8</v>
      </c>
      <c r="I87" s="11">
        <v>69</v>
      </c>
      <c r="J87" s="11">
        <v>38</v>
      </c>
      <c r="K87" s="11">
        <v>34</v>
      </c>
      <c r="L87" s="11">
        <v>122.4</v>
      </c>
      <c r="M87" s="9" t="s">
        <v>265</v>
      </c>
      <c r="O87" s="9" t="s">
        <v>267</v>
      </c>
      <c r="Q87" s="9">
        <v>2</v>
      </c>
      <c r="R87" s="9" t="s">
        <v>268</v>
      </c>
      <c r="S87" s="9" t="s">
        <v>272</v>
      </c>
      <c r="T87" s="9" t="s">
        <v>270</v>
      </c>
      <c r="AG87" s="15">
        <v>71</v>
      </c>
      <c r="AH87" s="21">
        <v>2</v>
      </c>
      <c r="AI87" s="9" t="s">
        <v>1120</v>
      </c>
      <c r="AJ87" s="9" t="s">
        <v>1138</v>
      </c>
    </row>
    <row r="88" spans="1:36" ht="15" customHeight="1" x14ac:dyDescent="0.2">
      <c r="A88" s="9" t="s">
        <v>118</v>
      </c>
      <c r="B88" s="9">
        <v>9</v>
      </c>
      <c r="C88" s="9" t="s">
        <v>243</v>
      </c>
      <c r="D88" s="9" t="s">
        <v>257</v>
      </c>
      <c r="E88" s="9" t="s">
        <v>263</v>
      </c>
      <c r="F88" s="9" t="s">
        <v>264</v>
      </c>
      <c r="G88" s="9" t="s">
        <v>1114</v>
      </c>
      <c r="H88" s="10">
        <v>0.85</v>
      </c>
      <c r="I88" s="11">
        <v>105</v>
      </c>
      <c r="J88" s="11">
        <v>75</v>
      </c>
      <c r="K88" s="11">
        <v>38</v>
      </c>
      <c r="L88" s="11">
        <v>463.5</v>
      </c>
      <c r="M88" s="9" t="s">
        <v>265</v>
      </c>
      <c r="O88" s="9" t="s">
        <v>267</v>
      </c>
      <c r="Q88" s="9">
        <v>1</v>
      </c>
      <c r="R88" s="9" t="s">
        <v>268</v>
      </c>
      <c r="S88" s="9" t="s">
        <v>272</v>
      </c>
      <c r="T88" s="9" t="s">
        <v>270</v>
      </c>
      <c r="AG88" s="15">
        <v>73</v>
      </c>
      <c r="AH88" s="21">
        <v>1</v>
      </c>
      <c r="AI88" s="9" t="s">
        <v>1121</v>
      </c>
      <c r="AJ88" s="9" t="s">
        <v>1134</v>
      </c>
    </row>
    <row r="89" spans="1:36" ht="15" customHeight="1" x14ac:dyDescent="0.2">
      <c r="A89" s="9" t="s">
        <v>119</v>
      </c>
      <c r="B89" s="9">
        <v>9</v>
      </c>
      <c r="C89" s="9" t="s">
        <v>243</v>
      </c>
      <c r="D89" s="9" t="s">
        <v>251</v>
      </c>
      <c r="E89" s="9" t="s">
        <v>262</v>
      </c>
      <c r="F89" s="9" t="s">
        <v>264</v>
      </c>
      <c r="G89" s="9" t="s">
        <v>1114</v>
      </c>
      <c r="H89" s="10">
        <v>0.5</v>
      </c>
      <c r="I89" s="11">
        <v>61</v>
      </c>
      <c r="J89" s="11">
        <v>55</v>
      </c>
      <c r="K89" s="11">
        <v>40</v>
      </c>
      <c r="L89" s="11">
        <v>165.6</v>
      </c>
      <c r="M89" s="9" t="s">
        <v>274</v>
      </c>
      <c r="N89" s="9" t="s">
        <v>282</v>
      </c>
      <c r="O89" s="9" t="s">
        <v>267</v>
      </c>
      <c r="Q89" s="9">
        <v>2</v>
      </c>
      <c r="R89" s="9" t="s">
        <v>268</v>
      </c>
      <c r="S89" s="9" t="s">
        <v>272</v>
      </c>
      <c r="T89" s="9" t="s">
        <v>270</v>
      </c>
      <c r="U89" s="9">
        <v>3</v>
      </c>
      <c r="V89" s="9" t="s">
        <v>268</v>
      </c>
      <c r="W89" s="9" t="s">
        <v>272</v>
      </c>
      <c r="X89" s="9" t="s">
        <v>270</v>
      </c>
      <c r="AG89" s="15">
        <v>71</v>
      </c>
      <c r="AH89" s="21">
        <v>5</v>
      </c>
      <c r="AI89" s="9" t="s">
        <v>1140</v>
      </c>
      <c r="AJ89" s="9" t="s">
        <v>1135</v>
      </c>
    </row>
    <row r="90" spans="1:36" ht="15" customHeight="1" x14ac:dyDescent="0.2">
      <c r="A90" s="9" t="s">
        <v>120</v>
      </c>
      <c r="B90" s="9">
        <v>9</v>
      </c>
      <c r="C90" s="9" t="s">
        <v>243</v>
      </c>
      <c r="D90" s="9" t="s">
        <v>251</v>
      </c>
      <c r="E90" s="9" t="s">
        <v>261</v>
      </c>
      <c r="F90" s="9" t="s">
        <v>264</v>
      </c>
      <c r="G90" s="9" t="s">
        <v>1113</v>
      </c>
      <c r="H90" s="10">
        <v>0.3</v>
      </c>
      <c r="I90" s="11">
        <v>71</v>
      </c>
      <c r="J90" s="11">
        <v>56</v>
      </c>
      <c r="K90" s="11">
        <v>50</v>
      </c>
      <c r="L90" s="11">
        <v>184.1</v>
      </c>
      <c r="M90" s="9" t="s">
        <v>274</v>
      </c>
      <c r="N90" s="9" t="s">
        <v>282</v>
      </c>
      <c r="O90" s="9" t="s">
        <v>267</v>
      </c>
      <c r="Q90" s="9">
        <v>5</v>
      </c>
      <c r="R90" s="9" t="s">
        <v>268</v>
      </c>
      <c r="S90" s="9" t="s">
        <v>272</v>
      </c>
      <c r="T90" s="9" t="s">
        <v>270</v>
      </c>
      <c r="U90" s="9">
        <v>3</v>
      </c>
      <c r="V90" s="9" t="s">
        <v>268</v>
      </c>
      <c r="W90" s="9" t="s">
        <v>272</v>
      </c>
      <c r="X90" s="9" t="s">
        <v>270</v>
      </c>
      <c r="AG90" s="15">
        <v>72</v>
      </c>
      <c r="AH90" s="21">
        <v>8</v>
      </c>
      <c r="AI90" s="9" t="s">
        <v>1140</v>
      </c>
      <c r="AJ90" s="9" t="s">
        <v>1135</v>
      </c>
    </row>
    <row r="91" spans="1:36" ht="15" customHeight="1" x14ac:dyDescent="0.2">
      <c r="A91" s="9" t="s">
        <v>190</v>
      </c>
      <c r="B91" s="9">
        <v>9</v>
      </c>
      <c r="C91" s="9" t="s">
        <v>242</v>
      </c>
      <c r="D91" s="9" t="s">
        <v>251</v>
      </c>
      <c r="E91" s="9" t="s">
        <v>261</v>
      </c>
      <c r="F91" s="9" t="s">
        <v>264</v>
      </c>
      <c r="G91" s="9" t="s">
        <v>1113</v>
      </c>
      <c r="H91" s="10">
        <v>0.4</v>
      </c>
      <c r="I91" s="11">
        <v>74</v>
      </c>
      <c r="J91" s="11">
        <v>45</v>
      </c>
      <c r="K91" s="11">
        <v>44</v>
      </c>
      <c r="L91" s="11">
        <v>162.6</v>
      </c>
      <c r="M91" s="9" t="s">
        <v>274</v>
      </c>
      <c r="N91" s="9" t="s">
        <v>282</v>
      </c>
      <c r="O91" s="9" t="s">
        <v>267</v>
      </c>
      <c r="Q91" s="9">
        <v>4</v>
      </c>
      <c r="R91" s="9" t="s">
        <v>268</v>
      </c>
      <c r="S91" s="9" t="s">
        <v>272</v>
      </c>
      <c r="T91" s="9" t="s">
        <v>270</v>
      </c>
      <c r="U91" s="9">
        <v>3</v>
      </c>
      <c r="V91" s="9" t="s">
        <v>268</v>
      </c>
      <c r="W91" s="9" t="s">
        <v>272</v>
      </c>
      <c r="X91" s="9" t="s">
        <v>270</v>
      </c>
      <c r="AG91" s="15">
        <v>82</v>
      </c>
      <c r="AH91" s="21">
        <v>7</v>
      </c>
      <c r="AI91" s="9" t="s">
        <v>1132</v>
      </c>
      <c r="AJ91" s="9" t="s">
        <v>1135</v>
      </c>
    </row>
    <row r="92" spans="1:36" ht="15" customHeight="1" x14ac:dyDescent="0.2">
      <c r="A92" s="9" t="s">
        <v>191</v>
      </c>
      <c r="B92" s="9">
        <v>9</v>
      </c>
      <c r="C92" s="9" t="s">
        <v>242</v>
      </c>
      <c r="D92" s="9" t="s">
        <v>707</v>
      </c>
      <c r="E92" s="9" t="s">
        <v>262</v>
      </c>
      <c r="F92" s="9" t="s">
        <v>264</v>
      </c>
      <c r="G92" s="9" t="s">
        <v>1111</v>
      </c>
      <c r="H92" s="10">
        <v>0.7</v>
      </c>
      <c r="I92" s="11">
        <v>55</v>
      </c>
      <c r="J92" s="11">
        <v>47</v>
      </c>
      <c r="K92" s="11">
        <v>26</v>
      </c>
      <c r="L92" s="11">
        <v>85.2</v>
      </c>
      <c r="M92" s="9" t="s">
        <v>265</v>
      </c>
      <c r="O92" s="9" t="s">
        <v>267</v>
      </c>
      <c r="Q92" s="9">
        <v>1</v>
      </c>
      <c r="R92" s="9" t="s">
        <v>268</v>
      </c>
      <c r="S92" s="9" t="s">
        <v>272</v>
      </c>
      <c r="T92" s="9" t="s">
        <v>270</v>
      </c>
      <c r="AG92" s="15">
        <v>83</v>
      </c>
      <c r="AH92" s="21">
        <v>1</v>
      </c>
      <c r="AI92" s="9" t="s">
        <v>1121</v>
      </c>
      <c r="AJ92" s="9" t="s">
        <v>1134</v>
      </c>
    </row>
    <row r="93" spans="1:36" ht="15" customHeight="1" x14ac:dyDescent="0.2">
      <c r="A93" s="9" t="s">
        <v>194</v>
      </c>
      <c r="B93" s="9">
        <v>9</v>
      </c>
      <c r="C93" s="9" t="s">
        <v>242</v>
      </c>
      <c r="D93" s="9" t="s">
        <v>251</v>
      </c>
      <c r="E93" s="9" t="s">
        <v>263</v>
      </c>
      <c r="F93" s="9" t="s">
        <v>264</v>
      </c>
      <c r="G93" s="9" t="s">
        <v>1113</v>
      </c>
      <c r="H93" s="10">
        <v>0.6</v>
      </c>
      <c r="I93" s="11">
        <v>72</v>
      </c>
      <c r="J93" s="11">
        <v>61</v>
      </c>
      <c r="K93" s="11">
        <v>31</v>
      </c>
      <c r="L93" s="11">
        <v>189</v>
      </c>
      <c r="M93" s="9" t="s">
        <v>274</v>
      </c>
      <c r="N93" s="9" t="s">
        <v>279</v>
      </c>
      <c r="O93" s="9" t="s">
        <v>266</v>
      </c>
      <c r="P93" s="9" t="s">
        <v>282</v>
      </c>
      <c r="Q93" s="9">
        <v>3</v>
      </c>
      <c r="R93" s="9" t="s">
        <v>268</v>
      </c>
      <c r="S93" s="9" t="s">
        <v>272</v>
      </c>
      <c r="T93" s="9" t="s">
        <v>270</v>
      </c>
      <c r="U93" s="9">
        <v>1</v>
      </c>
      <c r="V93" s="9" t="s">
        <v>268</v>
      </c>
      <c r="W93" s="9" t="s">
        <v>272</v>
      </c>
      <c r="X93" s="9" t="s">
        <v>270</v>
      </c>
      <c r="AG93" s="15">
        <v>83</v>
      </c>
      <c r="AH93" s="21">
        <v>4</v>
      </c>
      <c r="AI93" s="9" t="s">
        <v>1131</v>
      </c>
      <c r="AJ93" s="9" t="s">
        <v>1138</v>
      </c>
    </row>
    <row r="94" spans="1:36" ht="15" customHeight="1" x14ac:dyDescent="0.2">
      <c r="A94" s="9" t="s">
        <v>195</v>
      </c>
      <c r="B94" s="9">
        <v>9</v>
      </c>
      <c r="C94" s="9" t="s">
        <v>243</v>
      </c>
      <c r="D94" s="9" t="s">
        <v>251</v>
      </c>
      <c r="E94" s="9" t="s">
        <v>262</v>
      </c>
      <c r="F94" s="9" t="s">
        <v>264</v>
      </c>
      <c r="G94" s="9" t="s">
        <v>1114</v>
      </c>
      <c r="H94" s="10">
        <v>0.6</v>
      </c>
      <c r="I94" s="11">
        <v>56</v>
      </c>
      <c r="J94" s="11">
        <v>48</v>
      </c>
      <c r="K94" s="11">
        <v>42</v>
      </c>
      <c r="L94" s="11">
        <v>133.69999999999999</v>
      </c>
      <c r="M94" s="9" t="s">
        <v>274</v>
      </c>
      <c r="N94" s="9" t="s">
        <v>279</v>
      </c>
      <c r="O94" s="9" t="s">
        <v>267</v>
      </c>
      <c r="Q94" s="9">
        <v>5</v>
      </c>
      <c r="R94" s="9" t="s">
        <v>268</v>
      </c>
      <c r="S94" s="9" t="s">
        <v>272</v>
      </c>
      <c r="T94" s="9" t="s">
        <v>270</v>
      </c>
      <c r="U94" s="9">
        <v>4</v>
      </c>
      <c r="V94" s="9" t="s">
        <v>268</v>
      </c>
      <c r="W94" s="9" t="s">
        <v>272</v>
      </c>
      <c r="X94" s="9" t="s">
        <v>270</v>
      </c>
      <c r="AG94" s="15">
        <v>80</v>
      </c>
      <c r="AH94" s="21">
        <v>9</v>
      </c>
      <c r="AI94" s="9" t="s">
        <v>1120</v>
      </c>
      <c r="AJ94" s="9" t="s">
        <v>1138</v>
      </c>
    </row>
    <row r="95" spans="1:36" ht="15" customHeight="1" x14ac:dyDescent="0.2">
      <c r="A95" s="9" t="s">
        <v>196</v>
      </c>
      <c r="B95" s="9">
        <v>9</v>
      </c>
      <c r="C95" s="9" t="s">
        <v>243</v>
      </c>
      <c r="D95" s="9" t="s">
        <v>251</v>
      </c>
      <c r="E95" s="9" t="s">
        <v>261</v>
      </c>
      <c r="F95" s="9" t="s">
        <v>264</v>
      </c>
      <c r="G95" s="9" t="s">
        <v>1113</v>
      </c>
      <c r="H95" s="10">
        <v>0.4</v>
      </c>
      <c r="I95" s="11">
        <v>89</v>
      </c>
      <c r="J95" s="11">
        <v>59</v>
      </c>
      <c r="K95" s="11">
        <v>43</v>
      </c>
      <c r="L95" s="11">
        <v>181.4</v>
      </c>
      <c r="M95" s="9" t="s">
        <v>274</v>
      </c>
      <c r="N95" s="9" t="s">
        <v>279</v>
      </c>
      <c r="O95" s="9" t="s">
        <v>700</v>
      </c>
      <c r="P95" s="9" t="s">
        <v>699</v>
      </c>
      <c r="Q95" s="9">
        <v>3</v>
      </c>
      <c r="R95" s="9" t="s">
        <v>268</v>
      </c>
      <c r="S95" s="9" t="s">
        <v>272</v>
      </c>
      <c r="T95" s="9" t="s">
        <v>709</v>
      </c>
      <c r="U95" s="9">
        <v>1</v>
      </c>
      <c r="V95" s="9" t="s">
        <v>268</v>
      </c>
      <c r="W95" s="9" t="s">
        <v>272</v>
      </c>
      <c r="X95" s="9" t="s">
        <v>270</v>
      </c>
      <c r="AG95" s="15">
        <v>84</v>
      </c>
      <c r="AH95" s="21">
        <v>4</v>
      </c>
      <c r="AI95" s="9" t="s">
        <v>1126</v>
      </c>
      <c r="AJ95" s="9" t="s">
        <v>1135</v>
      </c>
    </row>
    <row r="96" spans="1:36" ht="15" customHeight="1" x14ac:dyDescent="0.2">
      <c r="A96" s="9" t="s">
        <v>197</v>
      </c>
      <c r="B96" s="9">
        <v>9</v>
      </c>
      <c r="C96" s="9" t="s">
        <v>243</v>
      </c>
      <c r="D96" s="9" t="s">
        <v>251</v>
      </c>
      <c r="E96" s="9" t="s">
        <v>262</v>
      </c>
      <c r="F96" s="9" t="s">
        <v>264</v>
      </c>
      <c r="G96" s="9" t="s">
        <v>1114</v>
      </c>
      <c r="H96" s="10">
        <v>0.45</v>
      </c>
      <c r="I96" s="11">
        <v>70</v>
      </c>
      <c r="J96" s="11">
        <v>58</v>
      </c>
      <c r="K96" s="11">
        <v>62</v>
      </c>
      <c r="L96" s="11">
        <v>287.7</v>
      </c>
      <c r="M96" s="9" t="s">
        <v>265</v>
      </c>
      <c r="O96" s="9" t="s">
        <v>267</v>
      </c>
      <c r="Q96" s="9">
        <v>4</v>
      </c>
      <c r="R96" s="9" t="s">
        <v>268</v>
      </c>
      <c r="S96" s="9" t="s">
        <v>272</v>
      </c>
      <c r="T96" s="9" t="s">
        <v>270</v>
      </c>
      <c r="AG96" s="15">
        <v>82</v>
      </c>
      <c r="AH96" s="21">
        <v>4</v>
      </c>
      <c r="AI96" s="9" t="s">
        <v>1120</v>
      </c>
      <c r="AJ96" s="9" t="s">
        <v>1138</v>
      </c>
    </row>
    <row r="97" spans="1:36" ht="15" customHeight="1" x14ac:dyDescent="0.2">
      <c r="A97" s="9" t="s">
        <v>198</v>
      </c>
      <c r="B97" s="9">
        <v>9</v>
      </c>
      <c r="C97" s="9" t="s">
        <v>243</v>
      </c>
      <c r="D97" s="9" t="s">
        <v>251</v>
      </c>
      <c r="E97" s="9" t="s">
        <v>708</v>
      </c>
      <c r="F97" s="9" t="s">
        <v>264</v>
      </c>
      <c r="G97" s="9" t="s">
        <v>1114</v>
      </c>
      <c r="H97" s="10">
        <v>0.6</v>
      </c>
      <c r="I97" s="11">
        <v>71</v>
      </c>
      <c r="J97" s="11">
        <v>45</v>
      </c>
      <c r="K97" s="11">
        <v>40</v>
      </c>
      <c r="L97" s="11">
        <v>170.5</v>
      </c>
      <c r="M97" s="9" t="s">
        <v>274</v>
      </c>
      <c r="N97" s="9" t="s">
        <v>279</v>
      </c>
      <c r="O97" s="9" t="s">
        <v>267</v>
      </c>
      <c r="Q97" s="9">
        <v>4</v>
      </c>
      <c r="R97" s="9" t="s">
        <v>268</v>
      </c>
      <c r="S97" s="9" t="s">
        <v>272</v>
      </c>
      <c r="T97" s="9" t="s">
        <v>270</v>
      </c>
      <c r="U97" s="9">
        <v>4</v>
      </c>
      <c r="V97" s="9" t="s">
        <v>268</v>
      </c>
      <c r="W97" s="9" t="s">
        <v>272</v>
      </c>
      <c r="X97" s="9" t="s">
        <v>270</v>
      </c>
      <c r="AG97" s="15">
        <v>86</v>
      </c>
      <c r="AH97" s="21">
        <v>8</v>
      </c>
      <c r="AI97" s="9" t="s">
        <v>1120</v>
      </c>
      <c r="AJ97" s="9" t="s">
        <v>1138</v>
      </c>
    </row>
    <row r="98" spans="1:36" ht="15" customHeight="1" x14ac:dyDescent="0.2">
      <c r="A98" s="9" t="s">
        <v>199</v>
      </c>
      <c r="B98" s="9">
        <v>9</v>
      </c>
      <c r="C98" s="9" t="s">
        <v>243</v>
      </c>
      <c r="D98" s="9" t="s">
        <v>251</v>
      </c>
      <c r="E98" s="9" t="s">
        <v>260</v>
      </c>
      <c r="F98" s="9" t="s">
        <v>264</v>
      </c>
      <c r="G98" s="9" t="s">
        <v>1114</v>
      </c>
      <c r="H98" s="10">
        <v>0.55000000000000004</v>
      </c>
      <c r="I98" s="11">
        <v>64</v>
      </c>
      <c r="J98" s="11">
        <v>59</v>
      </c>
      <c r="K98" s="11">
        <v>50</v>
      </c>
      <c r="L98" s="11">
        <v>219.3</v>
      </c>
      <c r="M98" s="9" t="s">
        <v>274</v>
      </c>
      <c r="N98" s="9" t="s">
        <v>279</v>
      </c>
      <c r="O98" s="9" t="s">
        <v>700</v>
      </c>
      <c r="P98" s="9" t="s">
        <v>699</v>
      </c>
      <c r="Q98" s="9">
        <v>8</v>
      </c>
      <c r="R98" s="9" t="s">
        <v>268</v>
      </c>
      <c r="S98" s="9" t="s">
        <v>272</v>
      </c>
      <c r="T98" s="9" t="s">
        <v>278</v>
      </c>
      <c r="U98" s="9">
        <v>3</v>
      </c>
      <c r="V98" s="9" t="s">
        <v>701</v>
      </c>
      <c r="W98" s="9" t="s">
        <v>269</v>
      </c>
      <c r="X98" s="9" t="s">
        <v>270</v>
      </c>
      <c r="AG98" s="15">
        <v>89</v>
      </c>
      <c r="AH98" s="21">
        <v>11</v>
      </c>
      <c r="AI98" s="9" t="s">
        <v>1126</v>
      </c>
      <c r="AJ98" s="9" t="s">
        <v>1135</v>
      </c>
    </row>
    <row r="99" spans="1:36" ht="15" customHeight="1" x14ac:dyDescent="0.2">
      <c r="A99" s="9" t="s">
        <v>200</v>
      </c>
      <c r="B99" s="9">
        <v>9</v>
      </c>
      <c r="C99" s="9" t="s">
        <v>243</v>
      </c>
      <c r="D99" s="9" t="s">
        <v>253</v>
      </c>
      <c r="E99" s="9" t="s">
        <v>261</v>
      </c>
      <c r="F99" s="9" t="s">
        <v>264</v>
      </c>
      <c r="G99" s="9" t="s">
        <v>1114</v>
      </c>
      <c r="H99" s="10">
        <v>0.6</v>
      </c>
      <c r="I99" s="11">
        <v>90</v>
      </c>
      <c r="J99" s="11">
        <v>61</v>
      </c>
      <c r="K99" s="11">
        <v>50</v>
      </c>
      <c r="L99" s="11">
        <v>355.6</v>
      </c>
      <c r="M99" s="9" t="s">
        <v>265</v>
      </c>
      <c r="O99" s="9" t="s">
        <v>267</v>
      </c>
      <c r="Q99" s="9">
        <v>4</v>
      </c>
      <c r="R99" s="9" t="s">
        <v>268</v>
      </c>
      <c r="S99" s="9" t="s">
        <v>272</v>
      </c>
      <c r="T99" s="9" t="s">
        <v>270</v>
      </c>
      <c r="AG99" s="15">
        <v>91</v>
      </c>
      <c r="AH99" s="21">
        <v>4</v>
      </c>
      <c r="AI99" s="9" t="s">
        <v>1120</v>
      </c>
      <c r="AJ99" s="9" t="s">
        <v>1138</v>
      </c>
    </row>
    <row r="100" spans="1:36" ht="15" customHeight="1" x14ac:dyDescent="0.2">
      <c r="A100" s="9" t="s">
        <v>202</v>
      </c>
      <c r="B100" s="9">
        <v>9</v>
      </c>
      <c r="C100" s="9" t="s">
        <v>243</v>
      </c>
      <c r="D100" s="9" t="s">
        <v>257</v>
      </c>
      <c r="E100" s="9" t="s">
        <v>262</v>
      </c>
      <c r="F100" s="9" t="s">
        <v>264</v>
      </c>
      <c r="G100" s="9" t="s">
        <v>1114</v>
      </c>
      <c r="H100" s="10">
        <v>0.6</v>
      </c>
      <c r="I100" s="11">
        <v>60</v>
      </c>
      <c r="J100" s="11">
        <v>55</v>
      </c>
      <c r="K100" s="11">
        <v>24</v>
      </c>
      <c r="L100" s="11">
        <v>99.3</v>
      </c>
      <c r="M100" s="9" t="s">
        <v>265</v>
      </c>
      <c r="O100" s="9" t="s">
        <v>710</v>
      </c>
      <c r="P100" s="9" t="s">
        <v>275</v>
      </c>
      <c r="Q100" s="9">
        <v>5</v>
      </c>
      <c r="R100" s="9" t="s">
        <v>701</v>
      </c>
      <c r="S100" s="9" t="s">
        <v>269</v>
      </c>
      <c r="T100" s="9" t="s">
        <v>758</v>
      </c>
      <c r="AG100" s="15">
        <v>59</v>
      </c>
      <c r="AH100" s="21">
        <v>5</v>
      </c>
      <c r="AI100" s="9" t="s">
        <v>1123</v>
      </c>
      <c r="AJ100" s="9" t="s">
        <v>767</v>
      </c>
    </row>
    <row r="101" spans="1:36" ht="15" customHeight="1" x14ac:dyDescent="0.2">
      <c r="A101" s="9" t="s">
        <v>203</v>
      </c>
      <c r="B101" s="9">
        <v>9</v>
      </c>
      <c r="C101" s="9" t="s">
        <v>243</v>
      </c>
      <c r="D101" s="9" t="s">
        <v>251</v>
      </c>
      <c r="E101" s="9" t="s">
        <v>261</v>
      </c>
      <c r="F101" s="9" t="s">
        <v>264</v>
      </c>
      <c r="G101" s="9" t="s">
        <v>1114</v>
      </c>
      <c r="H101" s="10">
        <v>0.6</v>
      </c>
      <c r="I101" s="11">
        <v>53</v>
      </c>
      <c r="J101" s="11">
        <v>42</v>
      </c>
      <c r="K101" s="11">
        <v>38</v>
      </c>
      <c r="L101" s="11">
        <v>95.3</v>
      </c>
      <c r="M101" s="9" t="s">
        <v>265</v>
      </c>
      <c r="O101" s="9" t="s">
        <v>267</v>
      </c>
      <c r="Q101" s="9">
        <v>3</v>
      </c>
      <c r="R101" s="9" t="s">
        <v>268</v>
      </c>
      <c r="S101" s="9" t="s">
        <v>272</v>
      </c>
      <c r="T101" s="9" t="s">
        <v>270</v>
      </c>
      <c r="AG101" s="15">
        <v>75</v>
      </c>
      <c r="AH101" s="21">
        <v>3</v>
      </c>
      <c r="AI101" s="9" t="s">
        <v>1120</v>
      </c>
      <c r="AJ101" s="9" t="s">
        <v>1138</v>
      </c>
    </row>
    <row r="102" spans="1:36" ht="15" customHeight="1" x14ac:dyDescent="0.2">
      <c r="A102" s="9" t="s">
        <v>204</v>
      </c>
      <c r="B102" s="9">
        <v>9</v>
      </c>
      <c r="C102" s="9" t="s">
        <v>243</v>
      </c>
      <c r="D102" s="9" t="s">
        <v>251</v>
      </c>
      <c r="E102" s="9" t="s">
        <v>261</v>
      </c>
      <c r="F102" s="9" t="s">
        <v>264</v>
      </c>
      <c r="G102" s="9" t="s">
        <v>1114</v>
      </c>
      <c r="H102" s="10">
        <v>0.7</v>
      </c>
      <c r="I102" s="11">
        <v>80</v>
      </c>
      <c r="J102" s="11">
        <v>60</v>
      </c>
      <c r="K102" s="11">
        <v>39</v>
      </c>
      <c r="L102" s="11">
        <v>244.7</v>
      </c>
      <c r="M102" s="9" t="s">
        <v>265</v>
      </c>
      <c r="O102" s="9" t="s">
        <v>267</v>
      </c>
      <c r="Q102" s="9">
        <v>4</v>
      </c>
      <c r="R102" s="9" t="s">
        <v>268</v>
      </c>
      <c r="S102" s="9" t="s">
        <v>272</v>
      </c>
      <c r="T102" s="9" t="s">
        <v>270</v>
      </c>
      <c r="AG102" s="15">
        <v>73</v>
      </c>
      <c r="AH102" s="21">
        <v>4</v>
      </c>
      <c r="AI102" s="9" t="s">
        <v>1120</v>
      </c>
      <c r="AJ102" s="9" t="s">
        <v>1138</v>
      </c>
    </row>
    <row r="103" spans="1:36" ht="15" customHeight="1" x14ac:dyDescent="0.2">
      <c r="A103" s="9" t="s">
        <v>205</v>
      </c>
      <c r="B103" s="9">
        <v>9</v>
      </c>
      <c r="C103" s="9" t="s">
        <v>243</v>
      </c>
      <c r="D103" s="9" t="s">
        <v>257</v>
      </c>
      <c r="E103" s="9" t="s">
        <v>262</v>
      </c>
      <c r="F103" s="9" t="s">
        <v>264</v>
      </c>
      <c r="G103" s="9" t="s">
        <v>1114</v>
      </c>
      <c r="H103" s="10">
        <v>0.4</v>
      </c>
      <c r="I103" s="11">
        <v>50</v>
      </c>
      <c r="J103" s="11">
        <v>48</v>
      </c>
      <c r="K103" s="11">
        <v>34</v>
      </c>
      <c r="L103" s="11">
        <v>82.7</v>
      </c>
      <c r="M103" s="9" t="s">
        <v>265</v>
      </c>
      <c r="O103" s="9" t="s">
        <v>710</v>
      </c>
      <c r="P103" s="9" t="s">
        <v>275</v>
      </c>
      <c r="Q103" s="9">
        <v>6</v>
      </c>
      <c r="R103" s="9" t="s">
        <v>701</v>
      </c>
      <c r="S103" s="9" t="s">
        <v>269</v>
      </c>
      <c r="T103" s="9" t="s">
        <v>758</v>
      </c>
      <c r="AG103" s="15">
        <v>75</v>
      </c>
      <c r="AH103" s="21">
        <v>6</v>
      </c>
      <c r="AI103" s="9" t="s">
        <v>1123</v>
      </c>
      <c r="AJ103" s="9" t="s">
        <v>767</v>
      </c>
    </row>
    <row r="104" spans="1:36" ht="15" customHeight="1" x14ac:dyDescent="0.2">
      <c r="A104" s="9" t="s">
        <v>206</v>
      </c>
      <c r="B104" s="9">
        <v>9</v>
      </c>
      <c r="C104" s="9" t="s">
        <v>243</v>
      </c>
      <c r="D104" s="9" t="s">
        <v>251</v>
      </c>
      <c r="E104" s="9" t="s">
        <v>262</v>
      </c>
      <c r="F104" s="9" t="s">
        <v>264</v>
      </c>
      <c r="G104" s="9" t="s">
        <v>1113</v>
      </c>
      <c r="H104" s="10">
        <v>0.45</v>
      </c>
      <c r="I104" s="11">
        <v>69</v>
      </c>
      <c r="J104" s="11">
        <v>47</v>
      </c>
      <c r="K104" s="11">
        <v>35</v>
      </c>
      <c r="L104" s="11">
        <v>132.30000000000001</v>
      </c>
      <c r="M104" s="9" t="s">
        <v>698</v>
      </c>
      <c r="N104" s="9" t="s">
        <v>699</v>
      </c>
      <c r="O104" s="9" t="s">
        <v>267</v>
      </c>
      <c r="Q104" s="9">
        <v>8</v>
      </c>
      <c r="R104" s="9" t="s">
        <v>268</v>
      </c>
      <c r="S104" s="9" t="s">
        <v>272</v>
      </c>
      <c r="T104" s="9" t="s">
        <v>270</v>
      </c>
      <c r="U104" s="9">
        <v>1</v>
      </c>
      <c r="V104" s="9" t="s">
        <v>268</v>
      </c>
      <c r="W104" s="9" t="s">
        <v>272</v>
      </c>
      <c r="X104" s="9" t="s">
        <v>270</v>
      </c>
      <c r="Y104" s="9">
        <v>3</v>
      </c>
      <c r="Z104" s="9" t="s">
        <v>268</v>
      </c>
      <c r="AA104" s="9" t="s">
        <v>272</v>
      </c>
      <c r="AB104" s="9" t="s">
        <v>270</v>
      </c>
      <c r="AG104" s="15">
        <v>86</v>
      </c>
      <c r="AH104" s="21">
        <v>12</v>
      </c>
      <c r="AI104" s="9" t="s">
        <v>1120</v>
      </c>
      <c r="AJ104" s="9" t="s">
        <v>1138</v>
      </c>
    </row>
    <row r="105" spans="1:36" ht="15" customHeight="1" x14ac:dyDescent="0.2">
      <c r="A105" s="9" t="s">
        <v>216</v>
      </c>
      <c r="B105" s="9">
        <v>9</v>
      </c>
      <c r="C105" s="9" t="s">
        <v>243</v>
      </c>
      <c r="D105" s="9" t="s">
        <v>259</v>
      </c>
      <c r="E105" s="9" t="s">
        <v>260</v>
      </c>
      <c r="F105" s="9" t="s">
        <v>264</v>
      </c>
      <c r="G105" s="9" t="s">
        <v>1113</v>
      </c>
      <c r="H105" s="10">
        <v>0.35</v>
      </c>
      <c r="I105" s="11">
        <v>65</v>
      </c>
      <c r="J105" s="11">
        <v>59</v>
      </c>
      <c r="K105" s="11">
        <v>35</v>
      </c>
      <c r="L105" s="11">
        <v>126.5</v>
      </c>
      <c r="M105" s="9" t="s">
        <v>274</v>
      </c>
      <c r="N105" s="9" t="s">
        <v>279</v>
      </c>
      <c r="O105" s="9" t="s">
        <v>266</v>
      </c>
      <c r="P105" s="9" t="s">
        <v>279</v>
      </c>
      <c r="Q105" s="9">
        <v>3</v>
      </c>
      <c r="R105" s="9" t="s">
        <v>701</v>
      </c>
      <c r="S105" s="9" t="s">
        <v>269</v>
      </c>
      <c r="T105" s="9" t="s">
        <v>270</v>
      </c>
      <c r="U105" s="9">
        <v>2</v>
      </c>
      <c r="V105" s="9" t="s">
        <v>268</v>
      </c>
      <c r="W105" s="9" t="s">
        <v>272</v>
      </c>
      <c r="X105" s="9" t="s">
        <v>270</v>
      </c>
      <c r="AG105" s="15">
        <v>88</v>
      </c>
      <c r="AH105" s="21">
        <v>5</v>
      </c>
      <c r="AI105" s="9" t="s">
        <v>1125</v>
      </c>
      <c r="AJ105" s="9" t="s">
        <v>1135</v>
      </c>
    </row>
    <row r="106" spans="1:36" ht="15" customHeight="1" x14ac:dyDescent="0.2">
      <c r="A106" s="9" t="s">
        <v>218</v>
      </c>
      <c r="B106" s="9">
        <v>9</v>
      </c>
      <c r="C106" s="9" t="s">
        <v>243</v>
      </c>
      <c r="D106" s="9" t="s">
        <v>258</v>
      </c>
      <c r="E106" s="9" t="s">
        <v>261</v>
      </c>
      <c r="F106" s="9" t="s">
        <v>264</v>
      </c>
      <c r="G106" s="9" t="s">
        <v>1114</v>
      </c>
      <c r="H106" s="10">
        <v>0.55000000000000004</v>
      </c>
      <c r="I106" s="11">
        <v>87</v>
      </c>
      <c r="J106" s="11">
        <v>78</v>
      </c>
      <c r="K106" s="11">
        <v>43</v>
      </c>
      <c r="L106" s="11">
        <v>356.9</v>
      </c>
      <c r="M106" s="9" t="s">
        <v>265</v>
      </c>
      <c r="O106" s="9" t="s">
        <v>267</v>
      </c>
      <c r="P106" s="9" t="s">
        <v>275</v>
      </c>
      <c r="Q106" s="9">
        <v>8</v>
      </c>
      <c r="R106" s="9" t="s">
        <v>268</v>
      </c>
      <c r="S106" s="9" t="s">
        <v>272</v>
      </c>
      <c r="T106" s="9" t="s">
        <v>270</v>
      </c>
      <c r="AG106" s="15">
        <v>90</v>
      </c>
      <c r="AH106" s="21">
        <v>8</v>
      </c>
      <c r="AI106" s="9" t="s">
        <v>1120</v>
      </c>
      <c r="AJ106" s="9" t="s">
        <v>1138</v>
      </c>
    </row>
    <row r="107" spans="1:36" ht="15" customHeight="1" x14ac:dyDescent="0.2">
      <c r="A107" s="9" t="s">
        <v>228</v>
      </c>
      <c r="B107" s="9">
        <v>9</v>
      </c>
      <c r="C107" s="9" t="s">
        <v>243</v>
      </c>
      <c r="D107" s="9" t="s">
        <v>251</v>
      </c>
      <c r="E107" s="9" t="s">
        <v>262</v>
      </c>
      <c r="F107" s="9" t="s">
        <v>264</v>
      </c>
      <c r="G107" s="9" t="s">
        <v>1113</v>
      </c>
      <c r="H107" s="10">
        <v>0.55000000000000004</v>
      </c>
      <c r="I107" s="11">
        <v>63</v>
      </c>
      <c r="J107" s="11">
        <v>45</v>
      </c>
      <c r="K107" s="11">
        <v>38</v>
      </c>
      <c r="L107" s="11">
        <v>95.1</v>
      </c>
      <c r="M107" s="9" t="s">
        <v>265</v>
      </c>
      <c r="O107" s="9" t="s">
        <v>700</v>
      </c>
      <c r="P107" s="9" t="s">
        <v>699</v>
      </c>
      <c r="Q107" s="9">
        <v>6</v>
      </c>
      <c r="R107" s="9" t="s">
        <v>268</v>
      </c>
      <c r="S107" s="9" t="s">
        <v>272</v>
      </c>
      <c r="T107" s="9" t="s">
        <v>729</v>
      </c>
      <c r="AG107" s="15">
        <v>68</v>
      </c>
      <c r="AH107" s="21">
        <v>6</v>
      </c>
      <c r="AI107" s="9" t="s">
        <v>1129</v>
      </c>
      <c r="AJ107" s="9" t="s">
        <v>1138</v>
      </c>
    </row>
    <row r="108" spans="1:36" ht="15" customHeight="1" x14ac:dyDescent="0.2">
      <c r="A108" s="9" t="s">
        <v>229</v>
      </c>
      <c r="B108" s="9">
        <v>9</v>
      </c>
      <c r="C108" s="9" t="s">
        <v>243</v>
      </c>
      <c r="D108" s="9" t="s">
        <v>251</v>
      </c>
      <c r="E108" s="9" t="s">
        <v>261</v>
      </c>
      <c r="F108" s="9" t="s">
        <v>264</v>
      </c>
      <c r="G108" s="9" t="s">
        <v>1114</v>
      </c>
      <c r="H108" s="10">
        <v>0.7</v>
      </c>
      <c r="I108" s="11">
        <v>59</v>
      </c>
      <c r="J108" s="11">
        <v>39</v>
      </c>
      <c r="K108" s="11">
        <v>21</v>
      </c>
      <c r="L108" s="11">
        <v>83.6</v>
      </c>
      <c r="M108" s="9" t="s">
        <v>274</v>
      </c>
      <c r="N108" s="9" t="s">
        <v>282</v>
      </c>
      <c r="O108" s="9" t="s">
        <v>267</v>
      </c>
      <c r="Q108" s="9">
        <v>3</v>
      </c>
      <c r="R108" s="9" t="s">
        <v>268</v>
      </c>
      <c r="S108" s="9" t="s">
        <v>272</v>
      </c>
      <c r="T108" s="9" t="s">
        <v>270</v>
      </c>
      <c r="U108" s="9">
        <v>3</v>
      </c>
      <c r="V108" s="9" t="s">
        <v>268</v>
      </c>
      <c r="W108" s="9" t="s">
        <v>272</v>
      </c>
      <c r="X108" s="9" t="s">
        <v>270</v>
      </c>
      <c r="AG108" s="15">
        <v>83</v>
      </c>
      <c r="AH108" s="21">
        <v>6</v>
      </c>
      <c r="AI108" s="9" t="s">
        <v>1140</v>
      </c>
      <c r="AJ108" s="9" t="s">
        <v>1135</v>
      </c>
    </row>
    <row r="109" spans="1:36" ht="15" customHeight="1" x14ac:dyDescent="0.2">
      <c r="A109" s="9" t="s">
        <v>230</v>
      </c>
      <c r="B109" s="9">
        <v>9</v>
      </c>
      <c r="C109" s="9" t="s">
        <v>243</v>
      </c>
      <c r="D109" s="9" t="s">
        <v>251</v>
      </c>
      <c r="E109" s="9" t="s">
        <v>261</v>
      </c>
      <c r="F109" s="9" t="s">
        <v>264</v>
      </c>
      <c r="G109" s="9" t="s">
        <v>1114</v>
      </c>
      <c r="H109" s="10">
        <v>0.65</v>
      </c>
      <c r="I109" s="11">
        <v>106</v>
      </c>
      <c r="J109" s="11">
        <v>78</v>
      </c>
      <c r="K109" s="11">
        <v>45</v>
      </c>
      <c r="L109" s="11">
        <v>373.9</v>
      </c>
      <c r="M109" s="9" t="s">
        <v>265</v>
      </c>
      <c r="O109" s="9" t="s">
        <v>267</v>
      </c>
      <c r="Q109" s="9">
        <v>2</v>
      </c>
      <c r="R109" s="9" t="s">
        <v>701</v>
      </c>
      <c r="S109" s="9" t="s">
        <v>269</v>
      </c>
      <c r="T109" s="9" t="s">
        <v>270</v>
      </c>
      <c r="AG109" s="15">
        <v>58</v>
      </c>
      <c r="AH109" s="21">
        <v>2</v>
      </c>
      <c r="AI109" s="9" t="s">
        <v>1120</v>
      </c>
      <c r="AJ109" s="9" t="s">
        <v>1138</v>
      </c>
    </row>
    <row r="110" spans="1:36" ht="15" customHeight="1" x14ac:dyDescent="0.2">
      <c r="A110" s="9" t="s">
        <v>232</v>
      </c>
      <c r="B110" s="9">
        <v>9</v>
      </c>
      <c r="C110" s="9" t="s">
        <v>243</v>
      </c>
      <c r="D110" s="9" t="s">
        <v>251</v>
      </c>
      <c r="E110" s="9" t="s">
        <v>260</v>
      </c>
      <c r="F110" s="9" t="s">
        <v>264</v>
      </c>
      <c r="G110" s="9" t="s">
        <v>1111</v>
      </c>
      <c r="H110" s="10">
        <v>0.6</v>
      </c>
      <c r="I110" s="11">
        <v>67</v>
      </c>
      <c r="J110" s="11">
        <v>42</v>
      </c>
      <c r="K110" s="11">
        <v>28</v>
      </c>
      <c r="L110" s="11">
        <v>87.4</v>
      </c>
      <c r="M110" s="9" t="s">
        <v>274</v>
      </c>
      <c r="N110" s="9" t="s">
        <v>279</v>
      </c>
      <c r="O110" s="9" t="s">
        <v>266</v>
      </c>
      <c r="P110" s="9" t="s">
        <v>282</v>
      </c>
      <c r="Q110" s="9">
        <v>2</v>
      </c>
      <c r="R110" s="9" t="s">
        <v>268</v>
      </c>
      <c r="S110" s="9" t="s">
        <v>272</v>
      </c>
      <c r="T110" s="9" t="s">
        <v>270</v>
      </c>
      <c r="U110" s="9">
        <v>1</v>
      </c>
      <c r="V110" s="9" t="s">
        <v>268</v>
      </c>
      <c r="W110" s="9" t="s">
        <v>272</v>
      </c>
      <c r="X110" s="9" t="s">
        <v>270</v>
      </c>
      <c r="AG110" s="15">
        <v>78</v>
      </c>
      <c r="AH110" s="21">
        <v>3</v>
      </c>
      <c r="AI110" s="9" t="s">
        <v>1131</v>
      </c>
      <c r="AJ110" s="9" t="s">
        <v>1138</v>
      </c>
    </row>
    <row r="111" spans="1:36" ht="15" customHeight="1" x14ac:dyDescent="0.2">
      <c r="A111" s="9" t="s">
        <v>233</v>
      </c>
      <c r="B111" s="9">
        <v>9</v>
      </c>
      <c r="C111" s="9" t="s">
        <v>243</v>
      </c>
      <c r="D111" s="9" t="s">
        <v>251</v>
      </c>
      <c r="E111" s="9" t="s">
        <v>261</v>
      </c>
      <c r="F111" s="9" t="s">
        <v>264</v>
      </c>
      <c r="G111" s="9" t="s">
        <v>1111</v>
      </c>
      <c r="H111" s="10">
        <v>0.6</v>
      </c>
      <c r="I111" s="11">
        <v>49</v>
      </c>
      <c r="J111" s="11">
        <v>36</v>
      </c>
      <c r="K111" s="11">
        <v>40</v>
      </c>
      <c r="L111" s="11">
        <v>93.4</v>
      </c>
      <c r="M111" s="9" t="s">
        <v>265</v>
      </c>
      <c r="O111" s="9" t="s">
        <v>266</v>
      </c>
      <c r="P111" s="9" t="s">
        <v>279</v>
      </c>
      <c r="Q111" s="9">
        <v>5</v>
      </c>
      <c r="R111" s="9" t="s">
        <v>268</v>
      </c>
      <c r="S111" s="9" t="s">
        <v>272</v>
      </c>
      <c r="T111" s="9" t="s">
        <v>709</v>
      </c>
      <c r="AG111" s="15">
        <v>72</v>
      </c>
      <c r="AH111" s="21">
        <v>5</v>
      </c>
      <c r="AI111" s="9" t="s">
        <v>1128</v>
      </c>
      <c r="AJ111" s="9" t="s">
        <v>1138</v>
      </c>
    </row>
    <row r="112" spans="1:36" ht="15" customHeight="1" x14ac:dyDescent="0.2">
      <c r="A112" s="9" t="s">
        <v>234</v>
      </c>
      <c r="B112" s="9">
        <v>9</v>
      </c>
      <c r="C112" s="9" t="s">
        <v>243</v>
      </c>
      <c r="D112" s="9" t="s">
        <v>251</v>
      </c>
      <c r="E112" s="9" t="s">
        <v>261</v>
      </c>
      <c r="F112" s="9" t="s">
        <v>264</v>
      </c>
      <c r="G112" s="9" t="s">
        <v>1114</v>
      </c>
      <c r="H112" s="10">
        <v>0.65</v>
      </c>
      <c r="I112" s="11">
        <v>53</v>
      </c>
      <c r="J112" s="11">
        <v>43</v>
      </c>
      <c r="K112" s="11">
        <v>37</v>
      </c>
      <c r="L112" s="11">
        <v>138</v>
      </c>
      <c r="M112" s="9" t="s">
        <v>265</v>
      </c>
      <c r="O112" s="9" t="s">
        <v>267</v>
      </c>
      <c r="Q112" s="9">
        <v>6</v>
      </c>
      <c r="R112" s="9" t="s">
        <v>268</v>
      </c>
      <c r="S112" s="9" t="s">
        <v>272</v>
      </c>
      <c r="T112" s="9" t="s">
        <v>270</v>
      </c>
      <c r="AG112" s="15">
        <v>96</v>
      </c>
      <c r="AH112" s="21">
        <v>6</v>
      </c>
      <c r="AI112" s="9" t="s">
        <v>1120</v>
      </c>
      <c r="AJ112" s="9" t="s">
        <v>1138</v>
      </c>
    </row>
    <row r="113" spans="1:36" ht="15" customHeight="1" x14ac:dyDescent="0.2">
      <c r="A113" s="9" t="s">
        <v>235</v>
      </c>
      <c r="B113" s="9">
        <v>9</v>
      </c>
      <c r="C113" s="9" t="s">
        <v>243</v>
      </c>
      <c r="D113" s="9" t="s">
        <v>251</v>
      </c>
      <c r="E113" s="9" t="s">
        <v>262</v>
      </c>
      <c r="F113" s="9" t="s">
        <v>264</v>
      </c>
      <c r="G113" s="9" t="s">
        <v>1110</v>
      </c>
      <c r="H113" s="10">
        <v>0</v>
      </c>
      <c r="I113" s="11">
        <v>81</v>
      </c>
      <c r="J113" s="11">
        <v>60</v>
      </c>
      <c r="K113" s="11">
        <v>41</v>
      </c>
      <c r="L113" s="11">
        <v>214.2</v>
      </c>
      <c r="M113" s="9" t="s">
        <v>274</v>
      </c>
      <c r="N113" s="9" t="s">
        <v>279</v>
      </c>
      <c r="O113" s="9" t="s">
        <v>700</v>
      </c>
      <c r="P113" s="9" t="s">
        <v>699</v>
      </c>
      <c r="Q113" s="9">
        <v>5</v>
      </c>
      <c r="R113" s="9" t="s">
        <v>268</v>
      </c>
      <c r="S113" s="9" t="s">
        <v>269</v>
      </c>
      <c r="T113" s="9" t="s">
        <v>709</v>
      </c>
      <c r="U113" s="9">
        <v>1</v>
      </c>
      <c r="V113" s="9" t="s">
        <v>268</v>
      </c>
      <c r="W113" s="9" t="s">
        <v>272</v>
      </c>
      <c r="X113" s="9" t="s">
        <v>270</v>
      </c>
      <c r="AG113" s="15">
        <v>83</v>
      </c>
      <c r="AH113" s="21">
        <v>6</v>
      </c>
      <c r="AI113" s="9" t="s">
        <v>1126</v>
      </c>
      <c r="AJ113" s="9" t="s">
        <v>1136</v>
      </c>
    </row>
    <row r="114" spans="1:36" ht="15" customHeight="1" x14ac:dyDescent="0.2">
      <c r="A114" s="9" t="s">
        <v>277</v>
      </c>
      <c r="B114" s="9">
        <v>9</v>
      </c>
      <c r="C114" s="9" t="s">
        <v>242</v>
      </c>
      <c r="D114" s="9" t="s">
        <v>251</v>
      </c>
      <c r="E114" s="9" t="s">
        <v>260</v>
      </c>
      <c r="F114" s="9" t="s">
        <v>264</v>
      </c>
      <c r="G114" s="9" t="s">
        <v>1114</v>
      </c>
      <c r="H114" s="10">
        <v>0.55000000000000004</v>
      </c>
      <c r="I114" s="9">
        <v>75</v>
      </c>
      <c r="J114" s="9">
        <v>74</v>
      </c>
      <c r="K114" s="9">
        <v>50</v>
      </c>
      <c r="L114" s="9">
        <v>295.8</v>
      </c>
      <c r="M114" s="9" t="s">
        <v>265</v>
      </c>
      <c r="O114" s="9" t="s">
        <v>267</v>
      </c>
      <c r="Q114" s="9">
        <v>6</v>
      </c>
      <c r="R114" s="9" t="s">
        <v>268</v>
      </c>
      <c r="S114" s="9" t="s">
        <v>272</v>
      </c>
      <c r="T114" s="9" t="s">
        <v>270</v>
      </c>
      <c r="AG114" s="15">
        <v>75</v>
      </c>
      <c r="AH114" s="21">
        <v>6</v>
      </c>
      <c r="AI114" s="9" t="s">
        <v>1120</v>
      </c>
      <c r="AJ114" s="9" t="s">
        <v>1138</v>
      </c>
    </row>
    <row r="115" spans="1:36" ht="15" customHeight="1" x14ac:dyDescent="0.2">
      <c r="A115" s="9" t="s">
        <v>280</v>
      </c>
      <c r="B115" s="9">
        <v>9</v>
      </c>
      <c r="C115" s="9" t="s">
        <v>243</v>
      </c>
      <c r="D115" s="9" t="s">
        <v>251</v>
      </c>
      <c r="E115" s="9" t="s">
        <v>262</v>
      </c>
      <c r="F115" s="9" t="s">
        <v>264</v>
      </c>
      <c r="G115" s="9" t="s">
        <v>1114</v>
      </c>
      <c r="H115" s="10">
        <v>0.7</v>
      </c>
      <c r="I115" s="9">
        <v>71</v>
      </c>
      <c r="J115" s="9">
        <v>57</v>
      </c>
      <c r="K115" s="9">
        <v>30</v>
      </c>
      <c r="L115" s="9">
        <v>189</v>
      </c>
      <c r="M115" s="9" t="s">
        <v>265</v>
      </c>
      <c r="O115" s="9" t="s">
        <v>267</v>
      </c>
      <c r="Q115" s="9">
        <v>6</v>
      </c>
      <c r="R115" s="9" t="s">
        <v>268</v>
      </c>
      <c r="S115" s="9" t="s">
        <v>272</v>
      </c>
      <c r="T115" s="9" t="s">
        <v>270</v>
      </c>
      <c r="AG115" s="15">
        <v>75</v>
      </c>
      <c r="AH115" s="21">
        <v>6</v>
      </c>
      <c r="AI115" s="9" t="s">
        <v>1120</v>
      </c>
      <c r="AJ115" s="9" t="s">
        <v>1138</v>
      </c>
    </row>
    <row r="116" spans="1:36" ht="15" customHeight="1" x14ac:dyDescent="0.2">
      <c r="A116" s="9" t="s">
        <v>281</v>
      </c>
      <c r="B116" s="9">
        <v>9</v>
      </c>
      <c r="C116" s="9" t="s">
        <v>243</v>
      </c>
      <c r="D116" s="9" t="s">
        <v>251</v>
      </c>
      <c r="E116" s="9" t="s">
        <v>261</v>
      </c>
      <c r="F116" s="9" t="s">
        <v>264</v>
      </c>
      <c r="G116" s="9" t="s">
        <v>1114</v>
      </c>
      <c r="H116" s="10">
        <v>0.5</v>
      </c>
      <c r="I116" s="9">
        <v>70</v>
      </c>
      <c r="J116" s="9">
        <v>48</v>
      </c>
      <c r="K116" s="9">
        <v>28</v>
      </c>
      <c r="L116" s="9">
        <v>144</v>
      </c>
      <c r="M116" s="9" t="s">
        <v>265</v>
      </c>
      <c r="O116" s="9" t="s">
        <v>267</v>
      </c>
      <c r="Q116" s="9">
        <v>3</v>
      </c>
      <c r="R116" s="9" t="s">
        <v>268</v>
      </c>
      <c r="S116" s="9" t="s">
        <v>272</v>
      </c>
      <c r="T116" s="9" t="s">
        <v>270</v>
      </c>
      <c r="AG116" s="15">
        <v>52</v>
      </c>
      <c r="AH116" s="21">
        <v>3</v>
      </c>
      <c r="AI116" s="9" t="s">
        <v>1120</v>
      </c>
      <c r="AJ116" s="9" t="s">
        <v>1138</v>
      </c>
    </row>
    <row r="117" spans="1:36" ht="15" customHeight="1" x14ac:dyDescent="0.2">
      <c r="A117" s="9" t="s">
        <v>284</v>
      </c>
      <c r="B117" s="9">
        <v>9</v>
      </c>
      <c r="C117" s="9" t="s">
        <v>243</v>
      </c>
      <c r="D117" s="9" t="s">
        <v>251</v>
      </c>
      <c r="E117" s="9" t="s">
        <v>260</v>
      </c>
      <c r="F117" s="9" t="s">
        <v>264</v>
      </c>
      <c r="G117" s="9" t="s">
        <v>1114</v>
      </c>
      <c r="H117" s="10">
        <v>0.55000000000000004</v>
      </c>
      <c r="I117" s="9">
        <v>76</v>
      </c>
      <c r="J117" s="9">
        <v>51</v>
      </c>
      <c r="K117" s="9">
        <v>38</v>
      </c>
      <c r="L117" s="9">
        <v>170.3</v>
      </c>
      <c r="M117" s="9" t="s">
        <v>265</v>
      </c>
      <c r="O117" s="9" t="s">
        <v>267</v>
      </c>
      <c r="Q117" s="9">
        <v>5</v>
      </c>
      <c r="R117" s="9" t="s">
        <v>268</v>
      </c>
      <c r="S117" s="9" t="s">
        <v>272</v>
      </c>
      <c r="T117" s="9" t="s">
        <v>270</v>
      </c>
      <c r="AG117" s="15">
        <v>83</v>
      </c>
      <c r="AH117" s="21">
        <v>5</v>
      </c>
      <c r="AI117" s="9" t="s">
        <v>1120</v>
      </c>
      <c r="AJ117" s="9" t="s">
        <v>1138</v>
      </c>
    </row>
    <row r="118" spans="1:36" ht="15" customHeight="1" x14ac:dyDescent="0.2">
      <c r="A118" s="9" t="s">
        <v>285</v>
      </c>
      <c r="B118" s="9">
        <v>9</v>
      </c>
      <c r="C118" s="9" t="s">
        <v>243</v>
      </c>
      <c r="D118" s="9" t="s">
        <v>251</v>
      </c>
      <c r="E118" s="9" t="s">
        <v>260</v>
      </c>
      <c r="F118" s="9" t="s">
        <v>264</v>
      </c>
      <c r="G118" s="9" t="s">
        <v>1113</v>
      </c>
      <c r="H118" s="10">
        <v>0</v>
      </c>
      <c r="I118" s="9">
        <v>72</v>
      </c>
      <c r="J118" s="9">
        <v>53</v>
      </c>
      <c r="K118" s="9">
        <v>29</v>
      </c>
      <c r="L118" s="9">
        <v>126.2</v>
      </c>
      <c r="M118" s="9" t="s">
        <v>265</v>
      </c>
      <c r="O118" s="9" t="s">
        <v>267</v>
      </c>
      <c r="Q118" s="9">
        <v>4</v>
      </c>
      <c r="R118" s="9" t="s">
        <v>268</v>
      </c>
      <c r="S118" s="9" t="s">
        <v>272</v>
      </c>
      <c r="T118" s="9" t="s">
        <v>270</v>
      </c>
      <c r="AG118" s="15">
        <v>58</v>
      </c>
      <c r="AH118" s="21">
        <v>4</v>
      </c>
      <c r="AI118" s="9" t="s">
        <v>1120</v>
      </c>
      <c r="AJ118" s="9" t="s">
        <v>1138</v>
      </c>
    </row>
    <row r="119" spans="1:36" ht="15" customHeight="1" x14ac:dyDescent="0.2">
      <c r="A119" s="9" t="s">
        <v>397</v>
      </c>
      <c r="B119" s="9">
        <v>9</v>
      </c>
      <c r="C119" s="9" t="s">
        <v>243</v>
      </c>
      <c r="D119" s="9" t="s">
        <v>257</v>
      </c>
      <c r="E119" s="9" t="s">
        <v>262</v>
      </c>
      <c r="F119" s="9" t="s">
        <v>264</v>
      </c>
      <c r="G119" s="9" t="s">
        <v>1114</v>
      </c>
      <c r="H119" s="10">
        <v>0.3</v>
      </c>
      <c r="I119" s="9">
        <v>110</v>
      </c>
      <c r="J119" s="9">
        <v>92</v>
      </c>
      <c r="K119" s="9">
        <v>44</v>
      </c>
      <c r="L119" s="9">
        <v>445.8</v>
      </c>
      <c r="M119" s="9" t="s">
        <v>698</v>
      </c>
      <c r="N119" s="9" t="s">
        <v>699</v>
      </c>
      <c r="O119" s="9" t="s">
        <v>700</v>
      </c>
      <c r="P119" s="9" t="s">
        <v>699</v>
      </c>
      <c r="Q119" s="9">
        <v>4</v>
      </c>
      <c r="R119" s="9" t="s">
        <v>701</v>
      </c>
      <c r="S119" s="9" t="s">
        <v>269</v>
      </c>
      <c r="T119" s="9" t="s">
        <v>278</v>
      </c>
      <c r="U119" s="9">
        <v>2</v>
      </c>
      <c r="V119" s="9" t="s">
        <v>268</v>
      </c>
      <c r="W119" s="9" t="s">
        <v>272</v>
      </c>
      <c r="X119" s="9" t="s">
        <v>270</v>
      </c>
      <c r="Y119" s="9">
        <v>2</v>
      </c>
      <c r="Z119" s="9" t="s">
        <v>268</v>
      </c>
      <c r="AA119" s="9" t="s">
        <v>272</v>
      </c>
      <c r="AB119" s="9" t="s">
        <v>270</v>
      </c>
      <c r="AG119" s="15">
        <v>66</v>
      </c>
      <c r="AH119" s="21">
        <v>8</v>
      </c>
      <c r="AI119" s="9" t="s">
        <v>1127</v>
      </c>
      <c r="AJ119" s="9" t="s">
        <v>766</v>
      </c>
    </row>
    <row r="120" spans="1:36" ht="15" customHeight="1" x14ac:dyDescent="0.2">
      <c r="A120" s="9" t="s">
        <v>702</v>
      </c>
      <c r="B120" s="9">
        <v>9</v>
      </c>
      <c r="C120" s="9" t="s">
        <v>243</v>
      </c>
      <c r="D120" s="9" t="s">
        <v>251</v>
      </c>
      <c r="E120" s="9" t="s">
        <v>261</v>
      </c>
      <c r="F120" s="9" t="s">
        <v>264</v>
      </c>
      <c r="G120" s="9" t="s">
        <v>1114</v>
      </c>
      <c r="H120" s="10">
        <v>0.7</v>
      </c>
      <c r="I120" s="9">
        <v>79</v>
      </c>
      <c r="J120" s="9">
        <v>76</v>
      </c>
      <c r="K120" s="9">
        <v>43</v>
      </c>
      <c r="L120" s="9">
        <v>230.6</v>
      </c>
      <c r="M120" s="9" t="s">
        <v>274</v>
      </c>
      <c r="N120" s="9" t="s">
        <v>279</v>
      </c>
      <c r="O120" s="9" t="s">
        <v>266</v>
      </c>
      <c r="P120" s="9" t="s">
        <v>279</v>
      </c>
      <c r="Q120" s="9">
        <v>1</v>
      </c>
      <c r="R120" s="9" t="s">
        <v>268</v>
      </c>
      <c r="S120" s="9" t="s">
        <v>272</v>
      </c>
      <c r="T120" s="9" t="s">
        <v>270</v>
      </c>
      <c r="U120" s="9">
        <v>1</v>
      </c>
      <c r="V120" s="9" t="s">
        <v>701</v>
      </c>
      <c r="W120" s="9" t="s">
        <v>269</v>
      </c>
      <c r="X120" s="9" t="s">
        <v>270</v>
      </c>
      <c r="AG120" s="15">
        <v>62</v>
      </c>
      <c r="AH120" s="21">
        <v>2</v>
      </c>
      <c r="AI120" s="9" t="s">
        <v>1125</v>
      </c>
      <c r="AJ120" s="9" t="s">
        <v>1135</v>
      </c>
    </row>
    <row r="121" spans="1:36" ht="15" customHeight="1" x14ac:dyDescent="0.2">
      <c r="A121" s="9" t="s">
        <v>706</v>
      </c>
      <c r="B121" s="9">
        <v>9</v>
      </c>
      <c r="C121" s="9" t="s">
        <v>243</v>
      </c>
      <c r="D121" s="9" t="s">
        <v>707</v>
      </c>
      <c r="E121" s="9" t="s">
        <v>708</v>
      </c>
      <c r="F121" s="9" t="s">
        <v>264</v>
      </c>
      <c r="G121" s="9" t="s">
        <v>1113</v>
      </c>
      <c r="H121" s="10">
        <v>0</v>
      </c>
      <c r="I121" s="9">
        <v>106</v>
      </c>
      <c r="J121" s="9">
        <v>82</v>
      </c>
      <c r="K121" s="9">
        <v>46</v>
      </c>
      <c r="L121" s="9">
        <v>463.6</v>
      </c>
      <c r="M121" s="9" t="s">
        <v>274</v>
      </c>
      <c r="N121" s="9" t="s">
        <v>279</v>
      </c>
      <c r="O121" s="9" t="s">
        <v>700</v>
      </c>
      <c r="P121" s="9" t="s">
        <v>699</v>
      </c>
      <c r="Q121" s="9">
        <v>7</v>
      </c>
      <c r="R121" s="9" t="s">
        <v>701</v>
      </c>
      <c r="S121" s="9" t="s">
        <v>269</v>
      </c>
      <c r="T121" s="9" t="s">
        <v>709</v>
      </c>
      <c r="U121" s="9">
        <v>4</v>
      </c>
      <c r="V121" s="9" t="s">
        <v>268</v>
      </c>
      <c r="W121" s="9" t="s">
        <v>272</v>
      </c>
      <c r="X121" s="9" t="s">
        <v>270</v>
      </c>
      <c r="AG121" s="15">
        <v>75</v>
      </c>
      <c r="AH121" s="21">
        <v>11</v>
      </c>
      <c r="AI121" s="9" t="s">
        <v>1126</v>
      </c>
      <c r="AJ121" s="9" t="s">
        <v>1135</v>
      </c>
    </row>
    <row r="122" spans="1:36" ht="15" customHeight="1" x14ac:dyDescent="0.2">
      <c r="A122" s="9" t="s">
        <v>725</v>
      </c>
      <c r="B122" s="9">
        <v>9</v>
      </c>
      <c r="C122" s="9" t="s">
        <v>243</v>
      </c>
      <c r="D122" s="9" t="s">
        <v>251</v>
      </c>
      <c r="E122" s="9" t="s">
        <v>262</v>
      </c>
      <c r="F122" s="9" t="s">
        <v>264</v>
      </c>
      <c r="G122" s="9" t="s">
        <v>1114</v>
      </c>
      <c r="H122" s="10">
        <v>0.65</v>
      </c>
      <c r="I122" s="9">
        <v>73</v>
      </c>
      <c r="J122" s="9">
        <v>62</v>
      </c>
      <c r="K122" s="9">
        <v>31</v>
      </c>
      <c r="L122" s="9">
        <v>183.1</v>
      </c>
      <c r="M122" s="9" t="s">
        <v>265</v>
      </c>
      <c r="O122" s="9" t="s">
        <v>267</v>
      </c>
      <c r="Q122" s="9">
        <v>3</v>
      </c>
      <c r="R122" s="9" t="s">
        <v>268</v>
      </c>
      <c r="S122" s="9" t="s">
        <v>272</v>
      </c>
      <c r="T122" s="9" t="s">
        <v>270</v>
      </c>
      <c r="AG122" s="15">
        <v>55</v>
      </c>
      <c r="AH122" s="21">
        <v>3</v>
      </c>
      <c r="AI122" s="9" t="s">
        <v>1120</v>
      </c>
      <c r="AJ122" s="9" t="s">
        <v>1138</v>
      </c>
    </row>
    <row r="123" spans="1:36" ht="15" customHeight="1" x14ac:dyDescent="0.2">
      <c r="A123" s="9" t="s">
        <v>731</v>
      </c>
      <c r="B123" s="9">
        <v>9</v>
      </c>
      <c r="C123" s="9" t="s">
        <v>243</v>
      </c>
      <c r="D123" s="9" t="s">
        <v>257</v>
      </c>
      <c r="E123" s="9" t="s">
        <v>261</v>
      </c>
      <c r="F123" s="9" t="s">
        <v>264</v>
      </c>
      <c r="G123" s="9" t="s">
        <v>1114</v>
      </c>
      <c r="H123" s="10">
        <v>0.75</v>
      </c>
      <c r="I123" s="9">
        <v>76</v>
      </c>
      <c r="J123" s="9">
        <v>81</v>
      </c>
      <c r="K123" s="9">
        <v>23</v>
      </c>
      <c r="L123" s="9">
        <v>171.5</v>
      </c>
      <c r="M123" s="9" t="s">
        <v>265</v>
      </c>
      <c r="O123" s="9" t="s">
        <v>267</v>
      </c>
      <c r="Q123" s="9">
        <v>4</v>
      </c>
      <c r="R123" s="9" t="s">
        <v>268</v>
      </c>
      <c r="S123" s="9" t="s">
        <v>272</v>
      </c>
      <c r="T123" s="9" t="s">
        <v>270</v>
      </c>
      <c r="AG123" s="15">
        <v>56</v>
      </c>
      <c r="AH123" s="21">
        <v>4</v>
      </c>
      <c r="AI123" s="9" t="s">
        <v>1120</v>
      </c>
      <c r="AJ123" s="9" t="s">
        <v>1138</v>
      </c>
    </row>
    <row r="124" spans="1:36" ht="15" customHeight="1" x14ac:dyDescent="0.2">
      <c r="A124" s="9" t="s">
        <v>745</v>
      </c>
      <c r="B124" s="9">
        <v>9</v>
      </c>
      <c r="C124" s="9" t="s">
        <v>243</v>
      </c>
      <c r="D124" s="9" t="s">
        <v>251</v>
      </c>
      <c r="E124" s="9" t="s">
        <v>260</v>
      </c>
      <c r="F124" s="9" t="s">
        <v>264</v>
      </c>
      <c r="G124" s="9" t="s">
        <v>1114</v>
      </c>
      <c r="H124" s="10">
        <v>0.6</v>
      </c>
      <c r="I124" s="9">
        <v>51</v>
      </c>
      <c r="J124" s="9">
        <v>41</v>
      </c>
      <c r="K124" s="9">
        <v>31</v>
      </c>
      <c r="L124" s="9">
        <v>111.8</v>
      </c>
      <c r="M124" s="9" t="s">
        <v>274</v>
      </c>
      <c r="N124" s="9" t="s">
        <v>279</v>
      </c>
      <c r="O124" s="9" t="s">
        <v>267</v>
      </c>
      <c r="Q124" s="9">
        <v>5</v>
      </c>
      <c r="R124" s="9" t="s">
        <v>268</v>
      </c>
      <c r="S124" s="9" t="s">
        <v>272</v>
      </c>
      <c r="T124" s="9" t="s">
        <v>270</v>
      </c>
      <c r="U124" s="9">
        <v>4</v>
      </c>
      <c r="V124" s="9" t="s">
        <v>268</v>
      </c>
      <c r="W124" s="9" t="s">
        <v>272</v>
      </c>
      <c r="X124" s="9" t="s">
        <v>270</v>
      </c>
      <c r="AG124" s="15">
        <v>71</v>
      </c>
      <c r="AH124" s="21">
        <v>9</v>
      </c>
      <c r="AI124" s="9" t="s">
        <v>1120</v>
      </c>
      <c r="AJ124" s="9" t="s">
        <v>1138</v>
      </c>
    </row>
    <row r="125" spans="1:36" ht="15" customHeight="1" x14ac:dyDescent="0.2">
      <c r="A125" s="9" t="s">
        <v>748</v>
      </c>
      <c r="B125" s="9">
        <v>9</v>
      </c>
      <c r="C125" s="9" t="s">
        <v>243</v>
      </c>
      <c r="D125" s="9" t="s">
        <v>251</v>
      </c>
      <c r="E125" s="9" t="s">
        <v>260</v>
      </c>
      <c r="F125" s="9" t="s">
        <v>264</v>
      </c>
      <c r="G125" s="9" t="s">
        <v>1114</v>
      </c>
      <c r="H125" s="10">
        <v>0.6</v>
      </c>
      <c r="I125" s="9">
        <v>54</v>
      </c>
      <c r="J125" s="9">
        <v>42</v>
      </c>
      <c r="K125" s="9">
        <v>19</v>
      </c>
      <c r="L125" s="9">
        <v>52.6</v>
      </c>
      <c r="M125" s="9" t="s">
        <v>274</v>
      </c>
      <c r="N125" s="9" t="s">
        <v>282</v>
      </c>
      <c r="O125" s="9" t="s">
        <v>267</v>
      </c>
      <c r="Q125" s="9">
        <v>6</v>
      </c>
      <c r="R125" s="9" t="s">
        <v>268</v>
      </c>
      <c r="S125" s="9" t="s">
        <v>272</v>
      </c>
      <c r="T125" s="9" t="s">
        <v>270</v>
      </c>
      <c r="U125" s="9">
        <v>1</v>
      </c>
      <c r="V125" s="9" t="s">
        <v>268</v>
      </c>
      <c r="W125" s="9" t="s">
        <v>272</v>
      </c>
      <c r="X125" s="9" t="s">
        <v>270</v>
      </c>
      <c r="AG125" s="15">
        <v>52</v>
      </c>
      <c r="AH125" s="21">
        <v>7</v>
      </c>
      <c r="AI125" s="9" t="s">
        <v>1140</v>
      </c>
      <c r="AJ125" s="9" t="s">
        <v>1135</v>
      </c>
    </row>
    <row r="126" spans="1:36" ht="15" customHeight="1" x14ac:dyDescent="0.2">
      <c r="A126" s="9" t="s">
        <v>752</v>
      </c>
      <c r="B126" s="9">
        <v>9</v>
      </c>
      <c r="C126" s="9" t="s">
        <v>242</v>
      </c>
      <c r="D126" s="9" t="s">
        <v>251</v>
      </c>
      <c r="E126" s="9" t="s">
        <v>262</v>
      </c>
      <c r="F126" s="9" t="s">
        <v>264</v>
      </c>
      <c r="G126" s="9" t="s">
        <v>1114</v>
      </c>
      <c r="H126" s="10">
        <v>0.45</v>
      </c>
      <c r="I126" s="9">
        <v>80</v>
      </c>
      <c r="J126" s="9">
        <v>57</v>
      </c>
      <c r="K126" s="9">
        <v>27</v>
      </c>
      <c r="L126" s="9">
        <v>145.9</v>
      </c>
      <c r="M126" s="9" t="s">
        <v>265</v>
      </c>
      <c r="O126" s="9" t="s">
        <v>266</v>
      </c>
      <c r="P126" s="9" t="s">
        <v>279</v>
      </c>
      <c r="Q126" s="9">
        <v>7</v>
      </c>
      <c r="R126" s="9" t="s">
        <v>268</v>
      </c>
      <c r="S126" s="9" t="s">
        <v>272</v>
      </c>
      <c r="T126" s="9" t="s">
        <v>709</v>
      </c>
      <c r="AG126" s="15">
        <v>66</v>
      </c>
      <c r="AH126" s="21">
        <v>7</v>
      </c>
      <c r="AI126" s="9" t="s">
        <v>1128</v>
      </c>
      <c r="AJ126" s="9" t="s">
        <v>1138</v>
      </c>
    </row>
    <row r="127" spans="1:36" ht="15" customHeight="1" x14ac:dyDescent="0.2">
      <c r="A127" s="9" t="s">
        <v>753</v>
      </c>
      <c r="B127" s="9">
        <v>9</v>
      </c>
      <c r="C127" s="9" t="s">
        <v>243</v>
      </c>
      <c r="D127" s="9" t="s">
        <v>733</v>
      </c>
      <c r="E127" s="9" t="s">
        <v>261</v>
      </c>
      <c r="F127" s="9" t="s">
        <v>264</v>
      </c>
      <c r="G127" s="9" t="s">
        <v>1110</v>
      </c>
      <c r="H127" s="10">
        <v>0.3</v>
      </c>
      <c r="I127" s="9">
        <v>71</v>
      </c>
      <c r="J127" s="9">
        <v>56</v>
      </c>
      <c r="K127" s="9">
        <v>42</v>
      </c>
      <c r="L127" s="9">
        <v>159.6</v>
      </c>
      <c r="M127" s="9" t="s">
        <v>265</v>
      </c>
      <c r="O127" s="9" t="s">
        <v>267</v>
      </c>
      <c r="Q127" s="9">
        <v>3</v>
      </c>
      <c r="R127" s="9" t="s">
        <v>268</v>
      </c>
      <c r="S127" s="9" t="s">
        <v>272</v>
      </c>
      <c r="T127" s="9" t="s">
        <v>270</v>
      </c>
      <c r="AG127" s="15">
        <v>71</v>
      </c>
      <c r="AH127" s="21">
        <v>3</v>
      </c>
      <c r="AI127" s="9" t="s">
        <v>1120</v>
      </c>
      <c r="AJ127" s="9" t="s">
        <v>1138</v>
      </c>
    </row>
    <row r="128" spans="1:36" ht="15" customHeight="1" x14ac:dyDescent="0.2">
      <c r="A128" s="9" t="s">
        <v>756</v>
      </c>
      <c r="B128" s="9">
        <v>9</v>
      </c>
      <c r="C128" s="9" t="s">
        <v>243</v>
      </c>
      <c r="D128" s="9" t="s">
        <v>251</v>
      </c>
      <c r="E128" s="9" t="s">
        <v>260</v>
      </c>
      <c r="F128" s="9" t="s">
        <v>264</v>
      </c>
      <c r="G128" s="9" t="s">
        <v>1114</v>
      </c>
      <c r="H128" s="10">
        <v>0.65</v>
      </c>
      <c r="I128" s="9">
        <v>68</v>
      </c>
      <c r="J128" s="9">
        <v>48</v>
      </c>
      <c r="K128" s="9">
        <v>21</v>
      </c>
      <c r="L128" s="9">
        <v>75.599999999999994</v>
      </c>
      <c r="M128" s="9" t="s">
        <v>265</v>
      </c>
      <c r="O128" s="9" t="s">
        <v>267</v>
      </c>
      <c r="Q128" s="9">
        <v>2</v>
      </c>
      <c r="R128" s="9" t="s">
        <v>268</v>
      </c>
      <c r="S128" s="9" t="s">
        <v>272</v>
      </c>
      <c r="T128" s="9" t="s">
        <v>270</v>
      </c>
      <c r="AG128" s="15">
        <v>56</v>
      </c>
      <c r="AH128" s="21">
        <v>2</v>
      </c>
      <c r="AI128" s="9" t="s">
        <v>1120</v>
      </c>
      <c r="AJ128" s="9" t="s">
        <v>1138</v>
      </c>
    </row>
    <row r="129" spans="1:36" ht="15" customHeight="1" x14ac:dyDescent="0.2">
      <c r="A129" s="9" t="s">
        <v>757</v>
      </c>
      <c r="B129" s="9">
        <v>9</v>
      </c>
      <c r="C129" s="9" t="s">
        <v>243</v>
      </c>
      <c r="D129" s="9" t="s">
        <v>257</v>
      </c>
      <c r="E129" s="9" t="s">
        <v>261</v>
      </c>
      <c r="F129" s="9" t="s">
        <v>264</v>
      </c>
      <c r="G129" s="9" t="s">
        <v>1114</v>
      </c>
      <c r="H129" s="10">
        <v>0.7</v>
      </c>
      <c r="I129" s="9">
        <v>42</v>
      </c>
      <c r="J129" s="9">
        <v>36</v>
      </c>
      <c r="K129" s="9">
        <v>26</v>
      </c>
      <c r="L129" s="9">
        <v>61.4</v>
      </c>
      <c r="M129" s="9" t="s">
        <v>265</v>
      </c>
      <c r="O129" s="9" t="s">
        <v>267</v>
      </c>
      <c r="Q129" s="9">
        <v>4</v>
      </c>
      <c r="R129" s="9" t="s">
        <v>268</v>
      </c>
      <c r="S129" s="9" t="s">
        <v>272</v>
      </c>
      <c r="T129" s="9" t="s">
        <v>270</v>
      </c>
      <c r="AG129" s="15">
        <v>70</v>
      </c>
      <c r="AH129" s="21">
        <v>4</v>
      </c>
      <c r="AI129" s="9" t="s">
        <v>1120</v>
      </c>
      <c r="AJ129" s="9" t="s">
        <v>1138</v>
      </c>
    </row>
    <row r="130" spans="1:36" ht="15" customHeight="1" x14ac:dyDescent="0.2">
      <c r="A130" s="9" t="s">
        <v>761</v>
      </c>
      <c r="B130" s="9">
        <v>9</v>
      </c>
      <c r="C130" s="9" t="s">
        <v>242</v>
      </c>
      <c r="D130" s="9" t="s">
        <v>257</v>
      </c>
      <c r="E130" s="9" t="s">
        <v>261</v>
      </c>
      <c r="F130" s="9" t="s">
        <v>264</v>
      </c>
      <c r="G130" s="9" t="s">
        <v>1110</v>
      </c>
      <c r="H130" s="10">
        <v>0.45</v>
      </c>
      <c r="I130" s="9">
        <v>106</v>
      </c>
      <c r="J130" s="9">
        <v>75</v>
      </c>
      <c r="K130" s="9">
        <v>48</v>
      </c>
      <c r="L130" s="9">
        <v>395.4</v>
      </c>
      <c r="M130" s="9" t="s">
        <v>274</v>
      </c>
      <c r="N130" s="9" t="s">
        <v>282</v>
      </c>
      <c r="O130" s="9" t="s">
        <v>267</v>
      </c>
      <c r="Q130" s="9">
        <v>2</v>
      </c>
      <c r="R130" s="9" t="s">
        <v>268</v>
      </c>
      <c r="S130" s="9" t="s">
        <v>272</v>
      </c>
      <c r="T130" s="9" t="s">
        <v>270</v>
      </c>
      <c r="U130" s="9">
        <v>3</v>
      </c>
      <c r="V130" s="9" t="s">
        <v>268</v>
      </c>
      <c r="W130" s="9" t="s">
        <v>272</v>
      </c>
      <c r="X130" s="9" t="s">
        <v>270</v>
      </c>
      <c r="AG130" s="15">
        <v>62</v>
      </c>
      <c r="AH130" s="21">
        <v>5</v>
      </c>
      <c r="AI130" s="9" t="s">
        <v>1140</v>
      </c>
      <c r="AJ130" s="9" t="s">
        <v>1136</v>
      </c>
    </row>
    <row r="131" spans="1:36" ht="15" customHeight="1" x14ac:dyDescent="0.2">
      <c r="A131" s="9" t="s">
        <v>762</v>
      </c>
      <c r="B131" s="9">
        <v>9</v>
      </c>
      <c r="C131" s="9" t="s">
        <v>243</v>
      </c>
      <c r="D131" s="9" t="s">
        <v>251</v>
      </c>
      <c r="E131" s="9" t="s">
        <v>260</v>
      </c>
      <c r="F131" s="9" t="s">
        <v>264</v>
      </c>
      <c r="G131" s="9" t="s">
        <v>1110</v>
      </c>
      <c r="H131" s="10">
        <v>0.35</v>
      </c>
      <c r="I131" s="9">
        <v>73</v>
      </c>
      <c r="J131" s="9">
        <v>87</v>
      </c>
      <c r="K131" s="9">
        <v>33</v>
      </c>
      <c r="L131" s="9">
        <v>236.3</v>
      </c>
      <c r="M131" s="9" t="s">
        <v>274</v>
      </c>
      <c r="N131" s="9" t="s">
        <v>279</v>
      </c>
      <c r="O131" s="9" t="s">
        <v>700</v>
      </c>
      <c r="P131" s="9" t="s">
        <v>699</v>
      </c>
      <c r="Q131" s="9">
        <v>3</v>
      </c>
      <c r="R131" s="9" t="s">
        <v>701</v>
      </c>
      <c r="S131" s="9" t="s">
        <v>269</v>
      </c>
      <c r="T131" s="9" t="s">
        <v>709</v>
      </c>
      <c r="U131" s="9">
        <v>1</v>
      </c>
      <c r="V131" s="9" t="s">
        <v>701</v>
      </c>
      <c r="W131" s="9" t="s">
        <v>269</v>
      </c>
      <c r="X131" s="9" t="s">
        <v>270</v>
      </c>
      <c r="AG131" s="15">
        <v>70</v>
      </c>
      <c r="AH131" s="21">
        <v>4</v>
      </c>
      <c r="AI131" s="9" t="s">
        <v>1126</v>
      </c>
      <c r="AJ131" s="9" t="s">
        <v>1136</v>
      </c>
    </row>
    <row r="132" spans="1:36" ht="15" customHeight="1" x14ac:dyDescent="0.2">
      <c r="A132" s="9" t="s">
        <v>765</v>
      </c>
      <c r="B132" s="9">
        <v>9</v>
      </c>
      <c r="C132" s="9" t="s">
        <v>243</v>
      </c>
      <c r="D132" s="9" t="s">
        <v>251</v>
      </c>
      <c r="E132" s="9" t="s">
        <v>262</v>
      </c>
      <c r="F132" s="9" t="s">
        <v>264</v>
      </c>
      <c r="G132" s="9" t="s">
        <v>1114</v>
      </c>
      <c r="H132" s="10">
        <v>0.55000000000000004</v>
      </c>
      <c r="I132" s="9">
        <v>79</v>
      </c>
      <c r="J132" s="9">
        <v>67</v>
      </c>
      <c r="K132" s="9">
        <v>42</v>
      </c>
      <c r="L132" s="9">
        <v>254.8</v>
      </c>
      <c r="M132" s="9" t="s">
        <v>265</v>
      </c>
      <c r="O132" s="9" t="s">
        <v>267</v>
      </c>
      <c r="Q132" s="9">
        <v>6</v>
      </c>
      <c r="R132" s="9" t="s">
        <v>268</v>
      </c>
      <c r="S132" s="9" t="s">
        <v>272</v>
      </c>
      <c r="T132" s="9" t="s">
        <v>270</v>
      </c>
      <c r="AG132" s="15">
        <v>61</v>
      </c>
      <c r="AH132" s="21">
        <v>6</v>
      </c>
      <c r="AI132" s="9" t="s">
        <v>1120</v>
      </c>
      <c r="AJ132" s="9" t="s">
        <v>1138</v>
      </c>
    </row>
    <row r="133" spans="1:36" ht="15" customHeight="1" x14ac:dyDescent="0.2">
      <c r="A133" s="9" t="s">
        <v>769</v>
      </c>
      <c r="B133" s="9">
        <v>9</v>
      </c>
      <c r="C133" s="9" t="s">
        <v>243</v>
      </c>
      <c r="D133" s="9" t="s">
        <v>251</v>
      </c>
      <c r="E133" s="9" t="s">
        <v>260</v>
      </c>
      <c r="F133" s="9" t="s">
        <v>264</v>
      </c>
      <c r="G133" s="9" t="s">
        <v>1114</v>
      </c>
      <c r="H133" s="10">
        <v>0.6</v>
      </c>
      <c r="I133" s="9">
        <v>57</v>
      </c>
      <c r="J133" s="9">
        <v>66</v>
      </c>
      <c r="K133" s="9">
        <v>27</v>
      </c>
      <c r="L133" s="9">
        <v>105.9</v>
      </c>
      <c r="M133" s="9" t="s">
        <v>265</v>
      </c>
      <c r="O133" s="9" t="s">
        <v>710</v>
      </c>
      <c r="P133" s="9" t="s">
        <v>275</v>
      </c>
      <c r="Q133" s="9">
        <v>5</v>
      </c>
      <c r="R133" s="9" t="s">
        <v>701</v>
      </c>
      <c r="S133" s="9" t="s">
        <v>269</v>
      </c>
      <c r="T133" s="9" t="s">
        <v>758</v>
      </c>
      <c r="AG133" s="15">
        <v>70</v>
      </c>
      <c r="AH133" s="21">
        <v>5</v>
      </c>
      <c r="AI133" s="9" t="s">
        <v>1123</v>
      </c>
      <c r="AJ133" s="9" t="s">
        <v>767</v>
      </c>
    </row>
    <row r="134" spans="1:36" ht="15" customHeight="1" x14ac:dyDescent="0.2">
      <c r="A134" s="9" t="s">
        <v>1090</v>
      </c>
      <c r="B134" s="9">
        <v>9</v>
      </c>
      <c r="C134" s="9" t="s">
        <v>243</v>
      </c>
      <c r="D134" s="9" t="s">
        <v>251</v>
      </c>
      <c r="E134" s="9" t="s">
        <v>260</v>
      </c>
      <c r="F134" s="9" t="s">
        <v>264</v>
      </c>
      <c r="G134" s="9" t="s">
        <v>1114</v>
      </c>
      <c r="H134" s="10">
        <v>0.75</v>
      </c>
      <c r="I134" s="15">
        <v>51</v>
      </c>
      <c r="J134" s="15">
        <v>44</v>
      </c>
      <c r="K134" s="15">
        <v>16</v>
      </c>
      <c r="L134" s="15">
        <v>49.3</v>
      </c>
      <c r="M134" s="9" t="s">
        <v>265</v>
      </c>
      <c r="O134" s="9" t="s">
        <v>267</v>
      </c>
      <c r="Q134" s="9">
        <v>4</v>
      </c>
      <c r="R134" s="9" t="s">
        <v>268</v>
      </c>
      <c r="S134" s="9" t="s">
        <v>272</v>
      </c>
      <c r="T134" s="9" t="s">
        <v>270</v>
      </c>
      <c r="AG134" s="15">
        <v>67</v>
      </c>
      <c r="AH134" s="21">
        <v>4</v>
      </c>
      <c r="AI134" s="9" t="s">
        <v>1120</v>
      </c>
      <c r="AJ134" s="9" t="s">
        <v>1138</v>
      </c>
    </row>
    <row r="135" spans="1:36" ht="15" customHeight="1" x14ac:dyDescent="0.2">
      <c r="A135" s="9" t="s">
        <v>998</v>
      </c>
      <c r="B135" s="9">
        <v>9</v>
      </c>
      <c r="C135" s="9" t="s">
        <v>243</v>
      </c>
      <c r="D135" s="9" t="s">
        <v>251</v>
      </c>
      <c r="E135" s="9" t="s">
        <v>260</v>
      </c>
      <c r="F135" s="9" t="s">
        <v>264</v>
      </c>
      <c r="G135" s="9" t="s">
        <v>1110</v>
      </c>
      <c r="H135" s="10">
        <v>0.5</v>
      </c>
      <c r="I135" s="15">
        <v>104</v>
      </c>
      <c r="J135" s="15">
        <v>70</v>
      </c>
      <c r="K135" s="15">
        <v>25</v>
      </c>
      <c r="L135" s="15">
        <v>183.5</v>
      </c>
      <c r="M135" s="9" t="s">
        <v>265</v>
      </c>
      <c r="O135" s="9" t="s">
        <v>266</v>
      </c>
      <c r="P135" s="9" t="s">
        <v>282</v>
      </c>
      <c r="Q135" s="9">
        <v>2</v>
      </c>
      <c r="R135" s="9" t="s">
        <v>701</v>
      </c>
      <c r="S135" s="9" t="s">
        <v>269</v>
      </c>
      <c r="T135" s="9" t="s">
        <v>278</v>
      </c>
      <c r="AG135" s="15">
        <v>58</v>
      </c>
      <c r="AH135" s="21">
        <v>2</v>
      </c>
      <c r="AI135" s="9" t="s">
        <v>1124</v>
      </c>
      <c r="AJ135" s="9" t="s">
        <v>1139</v>
      </c>
    </row>
    <row r="136" spans="1:36" ht="15" customHeight="1" x14ac:dyDescent="0.2">
      <c r="A136" s="9" t="s">
        <v>1011</v>
      </c>
      <c r="B136" s="9">
        <v>9</v>
      </c>
      <c r="C136" s="9" t="s">
        <v>243</v>
      </c>
      <c r="D136" s="9" t="s">
        <v>251</v>
      </c>
      <c r="E136" s="9" t="s">
        <v>260</v>
      </c>
      <c r="F136" s="9" t="s">
        <v>264</v>
      </c>
      <c r="G136" s="9" t="s">
        <v>1113</v>
      </c>
      <c r="H136" s="10">
        <v>0.25</v>
      </c>
      <c r="I136" s="15">
        <v>83</v>
      </c>
      <c r="J136" s="15">
        <v>72</v>
      </c>
      <c r="K136" s="15">
        <v>27</v>
      </c>
      <c r="L136" s="15">
        <v>165.1</v>
      </c>
      <c r="M136" s="9" t="s">
        <v>274</v>
      </c>
      <c r="N136" s="9" t="s">
        <v>279</v>
      </c>
      <c r="O136" s="9" t="s">
        <v>266</v>
      </c>
      <c r="P136" s="9" t="s">
        <v>279</v>
      </c>
      <c r="Q136" s="9">
        <v>2</v>
      </c>
      <c r="R136" s="9" t="s">
        <v>701</v>
      </c>
      <c r="S136" s="9" t="s">
        <v>269</v>
      </c>
      <c r="T136" s="9" t="s">
        <v>270</v>
      </c>
      <c r="U136" s="9">
        <v>3</v>
      </c>
      <c r="V136" s="9" t="s">
        <v>268</v>
      </c>
      <c r="W136" s="9" t="s">
        <v>272</v>
      </c>
      <c r="X136" s="9" t="s">
        <v>270</v>
      </c>
      <c r="AG136" s="15">
        <v>78</v>
      </c>
      <c r="AH136" s="21">
        <v>5</v>
      </c>
      <c r="AI136" s="9" t="s">
        <v>1125</v>
      </c>
      <c r="AJ136" s="9" t="s">
        <v>1135</v>
      </c>
    </row>
    <row r="137" spans="1:36" ht="15" customHeight="1" x14ac:dyDescent="0.2">
      <c r="A137" s="9" t="s">
        <v>121</v>
      </c>
      <c r="B137" s="9">
        <v>10</v>
      </c>
      <c r="C137" s="9" t="s">
        <v>244</v>
      </c>
      <c r="D137" s="9" t="s">
        <v>251</v>
      </c>
      <c r="E137" s="9" t="s">
        <v>260</v>
      </c>
      <c r="F137" s="9" t="s">
        <v>264</v>
      </c>
      <c r="G137" s="9" t="s">
        <v>1114</v>
      </c>
      <c r="H137" s="10">
        <v>0.55000000000000004</v>
      </c>
      <c r="I137" s="11">
        <v>76</v>
      </c>
      <c r="J137" s="11">
        <v>54</v>
      </c>
      <c r="K137" s="11">
        <v>56</v>
      </c>
      <c r="L137" s="11">
        <v>297.10000000000002</v>
      </c>
      <c r="M137" s="9" t="s">
        <v>265</v>
      </c>
      <c r="O137" s="9" t="s">
        <v>267</v>
      </c>
      <c r="Q137" s="9">
        <v>3</v>
      </c>
      <c r="R137" s="9" t="s">
        <v>268</v>
      </c>
      <c r="S137" s="9" t="s">
        <v>272</v>
      </c>
      <c r="T137" s="9" t="s">
        <v>270</v>
      </c>
      <c r="AG137" s="15">
        <v>70</v>
      </c>
      <c r="AH137" s="21">
        <v>3</v>
      </c>
      <c r="AI137" s="9" t="s">
        <v>1120</v>
      </c>
      <c r="AJ137" s="9" t="s">
        <v>1138</v>
      </c>
    </row>
    <row r="138" spans="1:36" ht="15" customHeight="1" x14ac:dyDescent="0.2">
      <c r="A138" s="9" t="s">
        <v>122</v>
      </c>
      <c r="B138" s="9">
        <v>10</v>
      </c>
      <c r="C138" s="9" t="s">
        <v>244</v>
      </c>
      <c r="D138" s="9" t="s">
        <v>251</v>
      </c>
      <c r="E138" s="9" t="s">
        <v>261</v>
      </c>
      <c r="F138" s="9" t="s">
        <v>264</v>
      </c>
      <c r="G138" s="9" t="s">
        <v>1114</v>
      </c>
      <c r="H138" s="10">
        <v>0.6</v>
      </c>
      <c r="I138" s="11">
        <v>71</v>
      </c>
      <c r="J138" s="11">
        <v>55</v>
      </c>
      <c r="K138" s="11">
        <v>40</v>
      </c>
      <c r="L138" s="11">
        <v>167</v>
      </c>
      <c r="M138" s="9" t="s">
        <v>265</v>
      </c>
      <c r="O138" s="9" t="s">
        <v>267</v>
      </c>
      <c r="Q138" s="9">
        <v>2</v>
      </c>
      <c r="R138" s="9" t="s">
        <v>701</v>
      </c>
      <c r="S138" s="9" t="s">
        <v>269</v>
      </c>
      <c r="T138" s="9" t="s">
        <v>270</v>
      </c>
      <c r="AG138" s="15">
        <v>75</v>
      </c>
      <c r="AH138" s="21">
        <v>2</v>
      </c>
      <c r="AI138" s="9" t="s">
        <v>1120</v>
      </c>
      <c r="AJ138" s="9" t="s">
        <v>1138</v>
      </c>
    </row>
    <row r="139" spans="1:36" ht="15" customHeight="1" x14ac:dyDescent="0.2">
      <c r="A139" s="9" t="s">
        <v>124</v>
      </c>
      <c r="B139" s="9">
        <v>10</v>
      </c>
      <c r="C139" s="9" t="s">
        <v>244</v>
      </c>
      <c r="D139" s="9" t="s">
        <v>251</v>
      </c>
      <c r="E139" s="9" t="s">
        <v>261</v>
      </c>
      <c r="F139" s="9" t="s">
        <v>264</v>
      </c>
      <c r="G139" s="9" t="s">
        <v>1111</v>
      </c>
      <c r="H139" s="10">
        <v>0.65</v>
      </c>
      <c r="I139" s="11">
        <v>119</v>
      </c>
      <c r="J139" s="11">
        <v>112</v>
      </c>
      <c r="K139" s="11">
        <v>76</v>
      </c>
      <c r="L139" s="11">
        <v>1525.3</v>
      </c>
      <c r="M139" s="9" t="s">
        <v>265</v>
      </c>
      <c r="O139" s="9" t="s">
        <v>267</v>
      </c>
      <c r="Q139" s="9">
        <v>8</v>
      </c>
      <c r="R139" s="9" t="s">
        <v>268</v>
      </c>
      <c r="S139" s="9" t="s">
        <v>272</v>
      </c>
      <c r="T139" s="9" t="s">
        <v>270</v>
      </c>
      <c r="AG139" s="15">
        <v>86</v>
      </c>
      <c r="AH139" s="21">
        <v>8</v>
      </c>
      <c r="AI139" s="9" t="s">
        <v>1120</v>
      </c>
      <c r="AJ139" s="9" t="s">
        <v>1138</v>
      </c>
    </row>
    <row r="140" spans="1:36" ht="15" customHeight="1" x14ac:dyDescent="0.2">
      <c r="A140" s="9" t="s">
        <v>125</v>
      </c>
      <c r="B140" s="9">
        <v>10</v>
      </c>
      <c r="C140" s="9" t="s">
        <v>244</v>
      </c>
      <c r="D140" s="9" t="s">
        <v>251</v>
      </c>
      <c r="E140" s="9" t="s">
        <v>263</v>
      </c>
      <c r="F140" s="9" t="s">
        <v>264</v>
      </c>
      <c r="G140" s="9" t="s">
        <v>1114</v>
      </c>
      <c r="H140" s="10">
        <v>0.6</v>
      </c>
      <c r="I140" s="11">
        <v>78</v>
      </c>
      <c r="J140" s="11">
        <v>51</v>
      </c>
      <c r="K140" s="11">
        <v>52</v>
      </c>
      <c r="L140" s="11">
        <v>244.3</v>
      </c>
      <c r="M140" s="9" t="s">
        <v>274</v>
      </c>
      <c r="N140" s="9" t="s">
        <v>279</v>
      </c>
      <c r="O140" s="9" t="s">
        <v>267</v>
      </c>
      <c r="Q140" s="9">
        <v>3</v>
      </c>
      <c r="R140" s="9" t="s">
        <v>268</v>
      </c>
      <c r="S140" s="9" t="s">
        <v>272</v>
      </c>
      <c r="T140" s="9" t="s">
        <v>270</v>
      </c>
      <c r="U140" s="9">
        <v>1</v>
      </c>
      <c r="V140" s="9" t="s">
        <v>268</v>
      </c>
      <c r="W140" s="9" t="s">
        <v>272</v>
      </c>
      <c r="X140" s="9" t="s">
        <v>270</v>
      </c>
      <c r="AG140" s="15">
        <v>78</v>
      </c>
      <c r="AH140" s="21">
        <v>4</v>
      </c>
      <c r="AI140" s="9" t="s">
        <v>1120</v>
      </c>
      <c r="AJ140" s="9" t="s">
        <v>1138</v>
      </c>
    </row>
    <row r="141" spans="1:36" ht="15" customHeight="1" x14ac:dyDescent="0.2">
      <c r="A141" s="9" t="s">
        <v>126</v>
      </c>
      <c r="B141" s="9">
        <v>10</v>
      </c>
      <c r="C141" s="9" t="s">
        <v>244</v>
      </c>
      <c r="D141" s="9" t="s">
        <v>255</v>
      </c>
      <c r="E141" s="9" t="s">
        <v>261</v>
      </c>
      <c r="F141" s="9" t="s">
        <v>264</v>
      </c>
      <c r="G141" s="9" t="s">
        <v>1114</v>
      </c>
      <c r="H141" s="10">
        <v>0.55000000000000004</v>
      </c>
      <c r="I141" s="11">
        <v>62</v>
      </c>
      <c r="J141" s="11">
        <v>68</v>
      </c>
      <c r="K141" s="11">
        <v>42</v>
      </c>
      <c r="L141" s="11">
        <v>237.8</v>
      </c>
      <c r="M141" s="9" t="s">
        <v>265</v>
      </c>
      <c r="O141" s="9" t="s">
        <v>710</v>
      </c>
      <c r="P141" s="9" t="s">
        <v>275</v>
      </c>
      <c r="Q141" s="9">
        <v>5</v>
      </c>
      <c r="R141" s="9" t="s">
        <v>701</v>
      </c>
      <c r="S141" s="9" t="s">
        <v>269</v>
      </c>
      <c r="T141" s="9" t="s">
        <v>758</v>
      </c>
      <c r="AG141" s="15">
        <v>81</v>
      </c>
      <c r="AH141" s="21">
        <v>5</v>
      </c>
      <c r="AI141" s="9" t="s">
        <v>1123</v>
      </c>
      <c r="AJ141" s="9" t="s">
        <v>767</v>
      </c>
    </row>
    <row r="142" spans="1:36" ht="15" customHeight="1" x14ac:dyDescent="0.2">
      <c r="A142" s="9" t="s">
        <v>207</v>
      </c>
      <c r="B142" s="9">
        <v>10</v>
      </c>
      <c r="C142" s="9" t="s">
        <v>244</v>
      </c>
      <c r="D142" s="9" t="s">
        <v>251</v>
      </c>
      <c r="E142" s="9" t="s">
        <v>262</v>
      </c>
      <c r="F142" s="9" t="s">
        <v>264</v>
      </c>
      <c r="G142" s="9" t="s">
        <v>1113</v>
      </c>
      <c r="H142" s="10">
        <v>0.3</v>
      </c>
      <c r="I142" s="11">
        <v>60</v>
      </c>
      <c r="J142" s="11">
        <v>55</v>
      </c>
      <c r="K142" s="11">
        <v>37</v>
      </c>
      <c r="L142" s="11">
        <v>110</v>
      </c>
      <c r="M142" s="9" t="s">
        <v>274</v>
      </c>
      <c r="N142" s="9" t="s">
        <v>279</v>
      </c>
      <c r="O142" s="9" t="s">
        <v>267</v>
      </c>
      <c r="Q142" s="9">
        <v>4</v>
      </c>
      <c r="R142" s="9" t="s">
        <v>268</v>
      </c>
      <c r="S142" s="9" t="s">
        <v>272</v>
      </c>
      <c r="T142" s="9" t="s">
        <v>270</v>
      </c>
      <c r="U142" s="9">
        <v>1</v>
      </c>
      <c r="V142" s="9" t="s">
        <v>268</v>
      </c>
      <c r="W142" s="9" t="s">
        <v>272</v>
      </c>
      <c r="X142" s="9" t="s">
        <v>270</v>
      </c>
      <c r="AG142" s="15">
        <v>77</v>
      </c>
      <c r="AH142" s="21">
        <v>5</v>
      </c>
      <c r="AI142" s="9" t="s">
        <v>1120</v>
      </c>
      <c r="AJ142" s="9" t="s">
        <v>1138</v>
      </c>
    </row>
    <row r="143" spans="1:36" ht="15" customHeight="1" x14ac:dyDescent="0.2">
      <c r="A143" s="9" t="s">
        <v>208</v>
      </c>
      <c r="B143" s="9">
        <v>10</v>
      </c>
      <c r="C143" s="9" t="s">
        <v>244</v>
      </c>
      <c r="D143" s="9" t="s">
        <v>257</v>
      </c>
      <c r="E143" s="9" t="s">
        <v>262</v>
      </c>
      <c r="F143" s="9" t="s">
        <v>264</v>
      </c>
      <c r="G143" s="9" t="s">
        <v>1114</v>
      </c>
      <c r="H143" s="10">
        <v>0.55000000000000004</v>
      </c>
      <c r="I143" s="11">
        <v>65</v>
      </c>
      <c r="J143" s="11">
        <v>59</v>
      </c>
      <c r="K143" s="11">
        <v>31</v>
      </c>
      <c r="L143" s="11">
        <v>152.30000000000001</v>
      </c>
      <c r="M143" s="9" t="s">
        <v>274</v>
      </c>
      <c r="N143" s="9" t="s">
        <v>279</v>
      </c>
      <c r="O143" s="9" t="s">
        <v>266</v>
      </c>
      <c r="P143" s="9" t="s">
        <v>279</v>
      </c>
      <c r="Q143" s="9">
        <v>3</v>
      </c>
      <c r="R143" s="9" t="s">
        <v>268</v>
      </c>
      <c r="S143" s="9" t="s">
        <v>272</v>
      </c>
      <c r="T143" s="9" t="s">
        <v>270</v>
      </c>
      <c r="U143" s="9">
        <v>2</v>
      </c>
      <c r="V143" s="9" t="s">
        <v>701</v>
      </c>
      <c r="W143" s="9" t="s">
        <v>269</v>
      </c>
      <c r="X143" s="9" t="s">
        <v>270</v>
      </c>
      <c r="AG143" s="15">
        <v>79</v>
      </c>
      <c r="AH143" s="21">
        <v>5</v>
      </c>
      <c r="AI143" s="9" t="s">
        <v>1125</v>
      </c>
      <c r="AJ143" s="9" t="s">
        <v>1135</v>
      </c>
    </row>
    <row r="144" spans="1:36" ht="15" customHeight="1" x14ac:dyDescent="0.2">
      <c r="A144" s="9" t="s">
        <v>711</v>
      </c>
      <c r="B144" s="9">
        <v>10</v>
      </c>
      <c r="C144" s="9" t="s">
        <v>244</v>
      </c>
      <c r="D144" s="9" t="s">
        <v>251</v>
      </c>
      <c r="E144" s="9" t="s">
        <v>260</v>
      </c>
      <c r="F144" s="9" t="s">
        <v>264</v>
      </c>
      <c r="G144" s="9" t="s">
        <v>1114</v>
      </c>
      <c r="H144" s="10">
        <v>0.8</v>
      </c>
      <c r="I144" s="9">
        <v>69</v>
      </c>
      <c r="J144" s="9">
        <v>62</v>
      </c>
      <c r="K144" s="9">
        <v>35</v>
      </c>
      <c r="L144" s="9">
        <v>220.6</v>
      </c>
      <c r="M144" s="9" t="s">
        <v>265</v>
      </c>
      <c r="O144" s="9" t="s">
        <v>267</v>
      </c>
      <c r="Q144" s="9">
        <v>2</v>
      </c>
      <c r="R144" s="9" t="s">
        <v>268</v>
      </c>
      <c r="S144" s="9" t="s">
        <v>272</v>
      </c>
      <c r="T144" s="9" t="s">
        <v>270</v>
      </c>
      <c r="AG144" s="15">
        <v>64</v>
      </c>
      <c r="AH144" s="21">
        <v>2</v>
      </c>
      <c r="AI144" s="9" t="s">
        <v>1120</v>
      </c>
      <c r="AJ144" s="9" t="s">
        <v>1138</v>
      </c>
    </row>
    <row r="145" spans="1:36" ht="15" customHeight="1" x14ac:dyDescent="0.2">
      <c r="A145" s="9" t="s">
        <v>986</v>
      </c>
      <c r="B145" s="9">
        <v>10</v>
      </c>
      <c r="C145" s="9" t="s">
        <v>244</v>
      </c>
      <c r="D145" s="9" t="s">
        <v>251</v>
      </c>
      <c r="E145" s="9" t="s">
        <v>260</v>
      </c>
      <c r="F145" s="9" t="s">
        <v>264</v>
      </c>
      <c r="G145" s="9" t="s">
        <v>1114</v>
      </c>
      <c r="H145" s="10">
        <v>0.7</v>
      </c>
      <c r="I145" s="15">
        <v>62</v>
      </c>
      <c r="J145" s="15">
        <v>56</v>
      </c>
      <c r="K145" s="15">
        <v>17</v>
      </c>
      <c r="L145" s="15">
        <v>80.5</v>
      </c>
      <c r="M145" s="9" t="s">
        <v>265</v>
      </c>
      <c r="O145" s="9" t="s">
        <v>267</v>
      </c>
      <c r="Q145" s="9">
        <v>4</v>
      </c>
      <c r="R145" s="9" t="s">
        <v>268</v>
      </c>
      <c r="S145" s="9" t="s">
        <v>272</v>
      </c>
      <c r="T145" s="9" t="s">
        <v>270</v>
      </c>
      <c r="AG145" s="15">
        <v>53</v>
      </c>
      <c r="AH145" s="21">
        <v>4</v>
      </c>
      <c r="AI145" s="9" t="s">
        <v>1120</v>
      </c>
      <c r="AJ145" s="9" t="s">
        <v>1138</v>
      </c>
    </row>
    <row r="146" spans="1:36" ht="15" customHeight="1" x14ac:dyDescent="0.2">
      <c r="A146" s="9" t="s">
        <v>127</v>
      </c>
      <c r="B146" s="9">
        <v>11</v>
      </c>
      <c r="C146" s="9" t="s">
        <v>245</v>
      </c>
      <c r="D146" s="9" t="s">
        <v>251</v>
      </c>
      <c r="E146" s="9" t="s">
        <v>260</v>
      </c>
      <c r="F146" s="9" t="s">
        <v>264</v>
      </c>
      <c r="G146" s="9" t="s">
        <v>1114</v>
      </c>
      <c r="H146" s="10">
        <v>0</v>
      </c>
      <c r="I146" s="11">
        <v>58</v>
      </c>
      <c r="J146" s="11">
        <v>53</v>
      </c>
      <c r="K146" s="11">
        <v>35</v>
      </c>
      <c r="L146" s="11">
        <v>147</v>
      </c>
      <c r="M146" s="9" t="s">
        <v>727</v>
      </c>
      <c r="N146" s="9" t="s">
        <v>728</v>
      </c>
      <c r="O146" s="9" t="s">
        <v>710</v>
      </c>
      <c r="P146" s="9" t="s">
        <v>699</v>
      </c>
      <c r="Q146" s="9">
        <v>3</v>
      </c>
      <c r="R146" s="9" t="s">
        <v>268</v>
      </c>
      <c r="S146" s="9" t="s">
        <v>272</v>
      </c>
      <c r="T146" s="9" t="s">
        <v>270</v>
      </c>
      <c r="U146" s="9">
        <v>3</v>
      </c>
      <c r="V146" s="9" t="s">
        <v>268</v>
      </c>
      <c r="W146" s="9" t="s">
        <v>269</v>
      </c>
      <c r="X146" s="9" t="s">
        <v>270</v>
      </c>
      <c r="Y146" s="9">
        <v>4</v>
      </c>
      <c r="Z146" s="9" t="s">
        <v>701</v>
      </c>
      <c r="AA146" s="9" t="s">
        <v>269</v>
      </c>
      <c r="AB146" s="9" t="s">
        <v>278</v>
      </c>
      <c r="AC146" s="9">
        <v>1</v>
      </c>
      <c r="AD146" s="9" t="s">
        <v>268</v>
      </c>
      <c r="AE146" s="9" t="s">
        <v>272</v>
      </c>
      <c r="AF146" s="9" t="s">
        <v>270</v>
      </c>
      <c r="AG146" s="15">
        <v>87</v>
      </c>
      <c r="AH146" s="21">
        <v>11</v>
      </c>
      <c r="AI146" s="9" t="s">
        <v>1127</v>
      </c>
      <c r="AJ146" s="9" t="s">
        <v>766</v>
      </c>
    </row>
    <row r="147" spans="1:36" ht="15" customHeight="1" x14ac:dyDescent="0.2">
      <c r="A147" s="9" t="s">
        <v>128</v>
      </c>
      <c r="B147" s="9">
        <v>11</v>
      </c>
      <c r="C147" s="9" t="s">
        <v>245</v>
      </c>
      <c r="D147" s="9" t="s">
        <v>257</v>
      </c>
      <c r="E147" s="9" t="s">
        <v>261</v>
      </c>
      <c r="F147" s="9" t="s">
        <v>264</v>
      </c>
      <c r="G147" s="9" t="s">
        <v>1111</v>
      </c>
      <c r="H147" s="10">
        <v>0.9</v>
      </c>
      <c r="I147" s="11">
        <v>117</v>
      </c>
      <c r="J147" s="11">
        <v>110</v>
      </c>
      <c r="K147" s="11">
        <v>62</v>
      </c>
      <c r="L147" s="11">
        <v>918</v>
      </c>
      <c r="M147" s="9" t="s">
        <v>274</v>
      </c>
      <c r="N147" s="9" t="s">
        <v>279</v>
      </c>
      <c r="O147" s="9" t="s">
        <v>267</v>
      </c>
      <c r="Q147" s="9">
        <v>2</v>
      </c>
      <c r="R147" s="9" t="s">
        <v>268</v>
      </c>
      <c r="S147" s="9" t="s">
        <v>272</v>
      </c>
      <c r="T147" s="9" t="s">
        <v>270</v>
      </c>
      <c r="U147" s="9">
        <v>1</v>
      </c>
      <c r="V147" s="9" t="s">
        <v>701</v>
      </c>
      <c r="W147" s="9" t="s">
        <v>269</v>
      </c>
      <c r="X147" s="9" t="s">
        <v>270</v>
      </c>
      <c r="AG147" s="15">
        <v>86</v>
      </c>
      <c r="AH147" s="21">
        <v>3</v>
      </c>
      <c r="AI147" s="9" t="s">
        <v>1120</v>
      </c>
      <c r="AJ147" s="9" t="s">
        <v>1138</v>
      </c>
    </row>
    <row r="148" spans="1:36" ht="15" customHeight="1" x14ac:dyDescent="0.2">
      <c r="A148" s="9" t="s">
        <v>129</v>
      </c>
      <c r="B148" s="9">
        <v>11</v>
      </c>
      <c r="C148" s="9" t="s">
        <v>245</v>
      </c>
      <c r="D148" s="9" t="s">
        <v>251</v>
      </c>
      <c r="E148" s="9" t="s">
        <v>260</v>
      </c>
      <c r="F148" s="9" t="s">
        <v>264</v>
      </c>
      <c r="G148" s="9" t="s">
        <v>1113</v>
      </c>
      <c r="H148" s="10">
        <v>0.6</v>
      </c>
      <c r="I148" s="11">
        <v>64</v>
      </c>
      <c r="J148" s="11">
        <v>61</v>
      </c>
      <c r="K148" s="11">
        <v>33</v>
      </c>
      <c r="L148" s="11">
        <v>166.7</v>
      </c>
      <c r="M148" s="9" t="s">
        <v>265</v>
      </c>
      <c r="O148" s="9" t="s">
        <v>267</v>
      </c>
      <c r="Q148" s="9">
        <v>2</v>
      </c>
      <c r="R148" s="9" t="s">
        <v>268</v>
      </c>
      <c r="S148" s="9" t="s">
        <v>272</v>
      </c>
      <c r="T148" s="9" t="s">
        <v>270</v>
      </c>
      <c r="AG148" s="15">
        <v>70</v>
      </c>
      <c r="AH148" s="21">
        <v>2</v>
      </c>
      <c r="AI148" s="9" t="s">
        <v>1120</v>
      </c>
      <c r="AJ148" s="9" t="s">
        <v>1138</v>
      </c>
    </row>
    <row r="149" spans="1:36" ht="15" customHeight="1" x14ac:dyDescent="0.2">
      <c r="A149" s="9" t="s">
        <v>130</v>
      </c>
      <c r="B149" s="9">
        <v>11</v>
      </c>
      <c r="C149" s="9" t="s">
        <v>245</v>
      </c>
      <c r="D149" s="9" t="s">
        <v>251</v>
      </c>
      <c r="E149" s="9" t="s">
        <v>262</v>
      </c>
      <c r="F149" s="9" t="s">
        <v>264</v>
      </c>
      <c r="G149" s="9" t="s">
        <v>1114</v>
      </c>
      <c r="H149" s="10">
        <v>0.6</v>
      </c>
      <c r="I149" s="11">
        <v>92</v>
      </c>
      <c r="J149" s="11">
        <v>68</v>
      </c>
      <c r="K149" s="11">
        <v>53</v>
      </c>
      <c r="L149" s="11">
        <v>359.3</v>
      </c>
      <c r="M149" s="9" t="s">
        <v>265</v>
      </c>
      <c r="O149" s="9" t="s">
        <v>267</v>
      </c>
      <c r="Q149" s="9">
        <v>3</v>
      </c>
      <c r="R149" s="9" t="s">
        <v>268</v>
      </c>
      <c r="S149" s="9" t="s">
        <v>272</v>
      </c>
      <c r="T149" s="9" t="s">
        <v>270</v>
      </c>
      <c r="AG149" s="15">
        <v>73</v>
      </c>
      <c r="AH149" s="21">
        <v>3</v>
      </c>
      <c r="AI149" s="9" t="s">
        <v>1120</v>
      </c>
      <c r="AJ149" s="9" t="s">
        <v>1138</v>
      </c>
    </row>
    <row r="150" spans="1:36" ht="15" customHeight="1" x14ac:dyDescent="0.2">
      <c r="A150" s="9" t="s">
        <v>131</v>
      </c>
      <c r="B150" s="9">
        <v>11</v>
      </c>
      <c r="C150" s="9" t="s">
        <v>245</v>
      </c>
      <c r="D150" s="9" t="s">
        <v>251</v>
      </c>
      <c r="E150" s="9" t="s">
        <v>261</v>
      </c>
      <c r="F150" s="9" t="s">
        <v>264</v>
      </c>
      <c r="G150" s="9" t="s">
        <v>1113</v>
      </c>
      <c r="H150" s="10">
        <v>0.4</v>
      </c>
      <c r="I150" s="11">
        <v>79</v>
      </c>
      <c r="J150" s="11">
        <v>63</v>
      </c>
      <c r="K150" s="11">
        <v>34</v>
      </c>
      <c r="L150" s="11">
        <v>222.4</v>
      </c>
      <c r="M150" s="9" t="s">
        <v>265</v>
      </c>
      <c r="O150" s="9" t="s">
        <v>267</v>
      </c>
      <c r="Q150" s="9">
        <v>8</v>
      </c>
      <c r="R150" s="9" t="s">
        <v>268</v>
      </c>
      <c r="S150" s="9" t="s">
        <v>272</v>
      </c>
      <c r="T150" s="9" t="s">
        <v>270</v>
      </c>
      <c r="AG150" s="15">
        <v>79</v>
      </c>
      <c r="AH150" s="21">
        <v>8</v>
      </c>
      <c r="AI150" s="9" t="s">
        <v>1120</v>
      </c>
      <c r="AJ150" s="9" t="s">
        <v>1138</v>
      </c>
    </row>
    <row r="151" spans="1:36" ht="15" customHeight="1" x14ac:dyDescent="0.2">
      <c r="A151" s="9" t="s">
        <v>132</v>
      </c>
      <c r="B151" s="9">
        <v>11</v>
      </c>
      <c r="C151" s="9" t="s">
        <v>245</v>
      </c>
      <c r="D151" s="9" t="s">
        <v>251</v>
      </c>
      <c r="E151" s="9" t="s">
        <v>262</v>
      </c>
      <c r="F151" s="9" t="s">
        <v>264</v>
      </c>
      <c r="G151" s="9" t="s">
        <v>1113</v>
      </c>
      <c r="H151" s="10">
        <v>0</v>
      </c>
      <c r="I151" s="11">
        <v>67</v>
      </c>
      <c r="J151" s="11">
        <v>42</v>
      </c>
      <c r="K151" s="11">
        <v>32</v>
      </c>
      <c r="L151" s="11">
        <v>118.5</v>
      </c>
      <c r="M151" s="9" t="s">
        <v>265</v>
      </c>
      <c r="O151" s="9" t="s">
        <v>267</v>
      </c>
      <c r="Q151" s="9">
        <v>11</v>
      </c>
      <c r="R151" s="9" t="s">
        <v>268</v>
      </c>
      <c r="S151" s="9" t="s">
        <v>272</v>
      </c>
      <c r="T151" s="9" t="s">
        <v>270</v>
      </c>
      <c r="AG151" s="15">
        <v>84</v>
      </c>
      <c r="AH151" s="21">
        <v>11</v>
      </c>
      <c r="AI151" s="9" t="s">
        <v>1120</v>
      </c>
      <c r="AJ151" s="9" t="s">
        <v>1138</v>
      </c>
    </row>
    <row r="152" spans="1:36" ht="15" customHeight="1" x14ac:dyDescent="0.2">
      <c r="A152" s="9" t="s">
        <v>133</v>
      </c>
      <c r="B152" s="9">
        <v>11</v>
      </c>
      <c r="C152" s="9" t="s">
        <v>245</v>
      </c>
      <c r="D152" s="9" t="s">
        <v>251</v>
      </c>
      <c r="E152" s="9" t="s">
        <v>261</v>
      </c>
      <c r="F152" s="9" t="s">
        <v>264</v>
      </c>
      <c r="G152" s="9" t="s">
        <v>1113</v>
      </c>
      <c r="H152" s="10">
        <v>0.5</v>
      </c>
      <c r="I152" s="11">
        <v>70</v>
      </c>
      <c r="J152" s="11">
        <v>40</v>
      </c>
      <c r="K152" s="11">
        <v>41</v>
      </c>
      <c r="L152" s="11">
        <v>131.69999999999999</v>
      </c>
      <c r="M152" s="9" t="s">
        <v>274</v>
      </c>
      <c r="N152" s="9" t="s">
        <v>279</v>
      </c>
      <c r="O152" s="9" t="s">
        <v>700</v>
      </c>
      <c r="P152" s="9" t="s">
        <v>699</v>
      </c>
      <c r="Q152" s="9">
        <v>5</v>
      </c>
      <c r="R152" s="9" t="s">
        <v>701</v>
      </c>
      <c r="S152" s="9" t="s">
        <v>269</v>
      </c>
      <c r="T152" s="9" t="s">
        <v>709</v>
      </c>
      <c r="U152" s="9">
        <v>1</v>
      </c>
      <c r="V152" s="9" t="s">
        <v>268</v>
      </c>
      <c r="W152" s="9" t="s">
        <v>272</v>
      </c>
      <c r="X152" s="9" t="s">
        <v>270</v>
      </c>
      <c r="AG152" s="15">
        <v>65</v>
      </c>
      <c r="AH152" s="21">
        <v>6</v>
      </c>
      <c r="AI152" s="9" t="s">
        <v>1126</v>
      </c>
      <c r="AJ152" s="9" t="s">
        <v>1135</v>
      </c>
    </row>
    <row r="153" spans="1:36" ht="15" customHeight="1" x14ac:dyDescent="0.2">
      <c r="A153" s="9" t="s">
        <v>134</v>
      </c>
      <c r="B153" s="9">
        <v>11</v>
      </c>
      <c r="C153" s="9" t="s">
        <v>245</v>
      </c>
      <c r="D153" s="9" t="s">
        <v>251</v>
      </c>
      <c r="E153" s="9" t="s">
        <v>260</v>
      </c>
      <c r="F153" s="9" t="s">
        <v>264</v>
      </c>
      <c r="G153" s="9" t="s">
        <v>1114</v>
      </c>
      <c r="H153" s="10">
        <v>0.75</v>
      </c>
      <c r="I153" s="11">
        <v>52</v>
      </c>
      <c r="J153" s="11">
        <v>49</v>
      </c>
      <c r="K153" s="11">
        <v>40</v>
      </c>
      <c r="L153" s="11">
        <v>148.1</v>
      </c>
      <c r="M153" s="9" t="s">
        <v>265</v>
      </c>
      <c r="O153" s="9" t="s">
        <v>267</v>
      </c>
      <c r="Q153" s="9">
        <v>1</v>
      </c>
      <c r="R153" s="9" t="s">
        <v>268</v>
      </c>
      <c r="S153" s="9" t="s">
        <v>272</v>
      </c>
      <c r="T153" s="9" t="s">
        <v>270</v>
      </c>
      <c r="AG153" s="15">
        <v>68</v>
      </c>
      <c r="AH153" s="21">
        <v>1</v>
      </c>
      <c r="AI153" s="9" t="s">
        <v>1121</v>
      </c>
      <c r="AJ153" s="9" t="s">
        <v>1134</v>
      </c>
    </row>
    <row r="154" spans="1:36" ht="15" customHeight="1" x14ac:dyDescent="0.2">
      <c r="A154" s="9" t="s">
        <v>135</v>
      </c>
      <c r="B154" s="9">
        <v>11</v>
      </c>
      <c r="C154" s="9" t="s">
        <v>245</v>
      </c>
      <c r="D154" s="9" t="s">
        <v>251</v>
      </c>
      <c r="E154" s="9" t="s">
        <v>260</v>
      </c>
      <c r="F154" s="9" t="s">
        <v>264</v>
      </c>
      <c r="G154" s="9" t="s">
        <v>1114</v>
      </c>
      <c r="H154" s="10">
        <v>0.8</v>
      </c>
      <c r="I154" s="11">
        <v>80</v>
      </c>
      <c r="J154" s="11">
        <v>55</v>
      </c>
      <c r="K154" s="11">
        <v>37</v>
      </c>
      <c r="L154" s="11">
        <v>192.1</v>
      </c>
      <c r="M154" s="9" t="s">
        <v>265</v>
      </c>
      <c r="O154" s="9" t="s">
        <v>267</v>
      </c>
      <c r="Q154" s="9">
        <v>1</v>
      </c>
      <c r="R154" s="9" t="s">
        <v>701</v>
      </c>
      <c r="S154" s="9" t="s">
        <v>269</v>
      </c>
      <c r="T154" s="9" t="s">
        <v>270</v>
      </c>
      <c r="AG154" s="15">
        <v>85</v>
      </c>
      <c r="AH154" s="21">
        <v>1</v>
      </c>
      <c r="AI154" s="9" t="s">
        <v>1121</v>
      </c>
      <c r="AJ154" s="9" t="s">
        <v>1134</v>
      </c>
    </row>
    <row r="155" spans="1:36" ht="15" customHeight="1" x14ac:dyDescent="0.2">
      <c r="A155" s="9" t="s">
        <v>137</v>
      </c>
      <c r="B155" s="9">
        <v>11</v>
      </c>
      <c r="C155" s="9" t="s">
        <v>245</v>
      </c>
      <c r="D155" s="9" t="s">
        <v>251</v>
      </c>
      <c r="E155" s="9" t="s">
        <v>261</v>
      </c>
      <c r="F155" s="9" t="s">
        <v>264</v>
      </c>
      <c r="G155" s="9" t="s">
        <v>1114</v>
      </c>
      <c r="H155" s="10">
        <v>0.4</v>
      </c>
      <c r="I155" s="11">
        <v>64</v>
      </c>
      <c r="J155" s="11">
        <v>50</v>
      </c>
      <c r="K155" s="11">
        <v>53</v>
      </c>
      <c r="L155" s="11">
        <v>226.4</v>
      </c>
      <c r="M155" s="9" t="s">
        <v>698</v>
      </c>
      <c r="N155" s="9" t="s">
        <v>699</v>
      </c>
      <c r="O155" s="9" t="s">
        <v>700</v>
      </c>
      <c r="P155" s="9" t="s">
        <v>699</v>
      </c>
      <c r="Q155" s="9">
        <v>1</v>
      </c>
      <c r="R155" s="9" t="s">
        <v>701</v>
      </c>
      <c r="S155" s="9" t="s">
        <v>269</v>
      </c>
      <c r="T155" s="9" t="s">
        <v>270</v>
      </c>
      <c r="U155" s="9">
        <v>2</v>
      </c>
      <c r="V155" s="9" t="s">
        <v>268</v>
      </c>
      <c r="W155" s="9" t="s">
        <v>269</v>
      </c>
      <c r="X155" s="9" t="s">
        <v>709</v>
      </c>
      <c r="Y155" s="9">
        <v>1</v>
      </c>
      <c r="Z155" s="9" t="s">
        <v>268</v>
      </c>
      <c r="AA155" s="9" t="s">
        <v>272</v>
      </c>
      <c r="AB155" s="9" t="s">
        <v>270</v>
      </c>
      <c r="AG155" s="15">
        <v>82</v>
      </c>
      <c r="AH155" s="21">
        <v>4</v>
      </c>
      <c r="AI155" s="9" t="s">
        <v>1127</v>
      </c>
      <c r="AJ155" s="9" t="s">
        <v>766</v>
      </c>
    </row>
    <row r="156" spans="1:36" ht="15" customHeight="1" x14ac:dyDescent="0.2">
      <c r="A156" s="9" t="s">
        <v>141</v>
      </c>
      <c r="B156" s="9">
        <v>11</v>
      </c>
      <c r="C156" s="9" t="s">
        <v>246</v>
      </c>
      <c r="D156" s="9" t="s">
        <v>255</v>
      </c>
      <c r="E156" s="9" t="s">
        <v>262</v>
      </c>
      <c r="F156" s="9" t="s">
        <v>264</v>
      </c>
      <c r="G156" s="9" t="s">
        <v>287</v>
      </c>
      <c r="H156" s="10">
        <v>0.3</v>
      </c>
      <c r="I156" s="11">
        <v>82</v>
      </c>
      <c r="J156" s="11">
        <v>73</v>
      </c>
      <c r="K156" s="11">
        <v>36</v>
      </c>
      <c r="L156" s="11">
        <v>301.5</v>
      </c>
      <c r="M156" s="9" t="s">
        <v>265</v>
      </c>
      <c r="O156" s="9" t="s">
        <v>267</v>
      </c>
      <c r="Q156" s="9">
        <v>4</v>
      </c>
      <c r="R156" s="9" t="s">
        <v>268</v>
      </c>
      <c r="S156" s="9" t="s">
        <v>272</v>
      </c>
      <c r="T156" s="9" t="s">
        <v>270</v>
      </c>
      <c r="AG156" s="15">
        <v>89</v>
      </c>
      <c r="AH156" s="21">
        <v>4</v>
      </c>
      <c r="AI156" s="9" t="s">
        <v>1120</v>
      </c>
      <c r="AJ156" s="9" t="s">
        <v>1138</v>
      </c>
    </row>
    <row r="157" spans="1:36" ht="15" customHeight="1" x14ac:dyDescent="0.2">
      <c r="A157" s="9" t="s">
        <v>143</v>
      </c>
      <c r="B157" s="9">
        <v>11</v>
      </c>
      <c r="C157" s="9" t="s">
        <v>246</v>
      </c>
      <c r="D157" s="9" t="s">
        <v>256</v>
      </c>
      <c r="E157" s="9" t="s">
        <v>261</v>
      </c>
      <c r="F157" s="9" t="s">
        <v>264</v>
      </c>
      <c r="G157" s="9" t="s">
        <v>1114</v>
      </c>
      <c r="H157" s="10">
        <v>0.4</v>
      </c>
      <c r="I157" s="11">
        <v>97</v>
      </c>
      <c r="J157" s="11">
        <v>86</v>
      </c>
      <c r="K157" s="11">
        <v>80</v>
      </c>
      <c r="L157" s="11">
        <v>951.6</v>
      </c>
      <c r="M157" s="9" t="s">
        <v>698</v>
      </c>
      <c r="N157" s="9" t="s">
        <v>699</v>
      </c>
      <c r="O157" s="9" t="s">
        <v>700</v>
      </c>
      <c r="P157" s="9" t="s">
        <v>699</v>
      </c>
      <c r="Q157" s="9">
        <v>5</v>
      </c>
      <c r="R157" s="9" t="s">
        <v>701</v>
      </c>
      <c r="S157" s="9" t="s">
        <v>269</v>
      </c>
      <c r="T157" s="9" t="s">
        <v>709</v>
      </c>
      <c r="U157" s="9">
        <v>3</v>
      </c>
      <c r="V157" s="9" t="s">
        <v>268</v>
      </c>
      <c r="W157" s="9" t="s">
        <v>272</v>
      </c>
      <c r="X157" s="9" t="s">
        <v>270</v>
      </c>
      <c r="Y157" s="9">
        <v>2</v>
      </c>
      <c r="Z157" s="9" t="s">
        <v>701</v>
      </c>
      <c r="AA157" s="9" t="s">
        <v>269</v>
      </c>
      <c r="AB157" s="9" t="s">
        <v>270</v>
      </c>
      <c r="AG157" s="15">
        <v>109</v>
      </c>
      <c r="AH157" s="21">
        <v>10</v>
      </c>
      <c r="AI157" s="9" t="s">
        <v>1127</v>
      </c>
      <c r="AJ157" s="9" t="s">
        <v>766</v>
      </c>
    </row>
    <row r="158" spans="1:36" ht="15" customHeight="1" x14ac:dyDescent="0.2">
      <c r="A158" s="9" t="s">
        <v>144</v>
      </c>
      <c r="B158" s="9">
        <v>11</v>
      </c>
      <c r="C158" s="9" t="s">
        <v>246</v>
      </c>
      <c r="D158" s="9" t="s">
        <v>251</v>
      </c>
      <c r="E158" s="9" t="s">
        <v>262</v>
      </c>
      <c r="F158" s="9" t="s">
        <v>264</v>
      </c>
      <c r="G158" s="9" t="s">
        <v>1114</v>
      </c>
      <c r="H158" s="10">
        <v>0.55000000000000004</v>
      </c>
      <c r="I158" s="11">
        <v>55</v>
      </c>
      <c r="J158" s="11">
        <v>53</v>
      </c>
      <c r="K158" s="11">
        <v>39</v>
      </c>
      <c r="L158" s="11">
        <v>173.3</v>
      </c>
      <c r="M158" s="9" t="s">
        <v>274</v>
      </c>
      <c r="N158" s="9" t="s">
        <v>279</v>
      </c>
      <c r="O158" s="9" t="s">
        <v>266</v>
      </c>
      <c r="P158" s="9" t="s">
        <v>279</v>
      </c>
      <c r="Q158" s="9">
        <v>1</v>
      </c>
      <c r="R158" s="9" t="s">
        <v>701</v>
      </c>
      <c r="S158" s="9" t="s">
        <v>269</v>
      </c>
      <c r="T158" s="9" t="s">
        <v>270</v>
      </c>
      <c r="U158" s="9">
        <v>1</v>
      </c>
      <c r="V158" s="9" t="s">
        <v>268</v>
      </c>
      <c r="W158" s="9" t="s">
        <v>272</v>
      </c>
      <c r="X158" s="9" t="s">
        <v>270</v>
      </c>
      <c r="AG158" s="15">
        <v>92</v>
      </c>
      <c r="AH158" s="21">
        <v>2</v>
      </c>
      <c r="AI158" s="9" t="s">
        <v>1125</v>
      </c>
      <c r="AJ158" s="9" t="s">
        <v>1135</v>
      </c>
    </row>
    <row r="159" spans="1:36" ht="15" customHeight="1" x14ac:dyDescent="0.2">
      <c r="A159" s="9" t="s">
        <v>146</v>
      </c>
      <c r="B159" s="9">
        <v>11</v>
      </c>
      <c r="C159" s="9" t="s">
        <v>246</v>
      </c>
      <c r="D159" s="9" t="s">
        <v>251</v>
      </c>
      <c r="E159" s="9" t="s">
        <v>260</v>
      </c>
      <c r="F159" s="9" t="s">
        <v>264</v>
      </c>
      <c r="G159" s="9" t="s">
        <v>1114</v>
      </c>
      <c r="H159" s="10">
        <v>0.7</v>
      </c>
      <c r="I159" s="11">
        <v>64</v>
      </c>
      <c r="J159" s="11">
        <v>48</v>
      </c>
      <c r="K159" s="11">
        <v>39</v>
      </c>
      <c r="L159" s="11">
        <v>181.3</v>
      </c>
      <c r="M159" s="9" t="s">
        <v>265</v>
      </c>
      <c r="O159" s="9" t="s">
        <v>266</v>
      </c>
      <c r="P159" s="9" t="s">
        <v>279</v>
      </c>
      <c r="Q159" s="9">
        <v>3</v>
      </c>
      <c r="R159" s="9" t="s">
        <v>268</v>
      </c>
      <c r="S159" s="9" t="s">
        <v>272</v>
      </c>
      <c r="T159" s="9" t="s">
        <v>709</v>
      </c>
      <c r="AG159" s="15">
        <v>89</v>
      </c>
      <c r="AH159" s="21">
        <v>3</v>
      </c>
      <c r="AI159" s="9" t="s">
        <v>1128</v>
      </c>
      <c r="AJ159" s="9" t="s">
        <v>1138</v>
      </c>
    </row>
    <row r="160" spans="1:36" ht="15" customHeight="1" x14ac:dyDescent="0.2">
      <c r="A160" s="9" t="s">
        <v>150</v>
      </c>
      <c r="B160" s="9">
        <v>11</v>
      </c>
      <c r="C160" s="9" t="s">
        <v>246</v>
      </c>
      <c r="D160" s="9" t="s">
        <v>251</v>
      </c>
      <c r="E160" s="9" t="s">
        <v>260</v>
      </c>
      <c r="F160" s="9" t="s">
        <v>264</v>
      </c>
      <c r="G160" s="9" t="s">
        <v>1114</v>
      </c>
      <c r="H160" s="10">
        <v>0.3</v>
      </c>
      <c r="I160" s="11">
        <v>87</v>
      </c>
      <c r="J160" s="11">
        <v>71</v>
      </c>
      <c r="K160" s="11">
        <v>69</v>
      </c>
      <c r="L160" s="11">
        <v>518.5</v>
      </c>
      <c r="M160" s="9" t="s">
        <v>265</v>
      </c>
      <c r="O160" s="9" t="s">
        <v>267</v>
      </c>
      <c r="Q160" s="9">
        <v>8</v>
      </c>
      <c r="R160" s="9" t="s">
        <v>268</v>
      </c>
      <c r="S160" s="9" t="s">
        <v>269</v>
      </c>
      <c r="T160" s="9" t="s">
        <v>270</v>
      </c>
      <c r="AG160" s="15">
        <v>81</v>
      </c>
      <c r="AH160" s="21">
        <v>8</v>
      </c>
      <c r="AI160" s="9" t="s">
        <v>1120</v>
      </c>
      <c r="AJ160" s="9" t="s">
        <v>1138</v>
      </c>
    </row>
    <row r="161" spans="1:36" ht="15" customHeight="1" x14ac:dyDescent="0.2">
      <c r="A161" s="9" t="s">
        <v>151</v>
      </c>
      <c r="B161" s="9">
        <v>11</v>
      </c>
      <c r="C161" s="9" t="s">
        <v>246</v>
      </c>
      <c r="D161" s="9" t="s">
        <v>251</v>
      </c>
      <c r="E161" s="9" t="s">
        <v>260</v>
      </c>
      <c r="F161" s="9" t="s">
        <v>264</v>
      </c>
      <c r="G161" s="9" t="s">
        <v>1114</v>
      </c>
      <c r="H161" s="10">
        <v>0.6</v>
      </c>
      <c r="I161" s="11">
        <v>72</v>
      </c>
      <c r="J161" s="11">
        <v>48</v>
      </c>
      <c r="K161" s="11">
        <v>43</v>
      </c>
      <c r="L161" s="11">
        <v>167.3</v>
      </c>
      <c r="M161" s="9" t="s">
        <v>265</v>
      </c>
      <c r="O161" s="9" t="s">
        <v>267</v>
      </c>
      <c r="Q161" s="9">
        <v>2</v>
      </c>
      <c r="R161" s="9" t="s">
        <v>268</v>
      </c>
      <c r="S161" s="9" t="s">
        <v>272</v>
      </c>
      <c r="T161" s="9" t="s">
        <v>270</v>
      </c>
      <c r="AG161" s="15">
        <v>68</v>
      </c>
      <c r="AH161" s="21">
        <v>2</v>
      </c>
      <c r="AI161" s="9" t="s">
        <v>1120</v>
      </c>
      <c r="AJ161" s="9" t="s">
        <v>1138</v>
      </c>
    </row>
    <row r="162" spans="1:36" ht="15" customHeight="1" x14ac:dyDescent="0.2">
      <c r="A162" s="9" t="s">
        <v>211</v>
      </c>
      <c r="B162" s="9">
        <v>11</v>
      </c>
      <c r="C162" s="9" t="s">
        <v>246</v>
      </c>
      <c r="D162" s="9" t="s">
        <v>251</v>
      </c>
      <c r="E162" s="9" t="s">
        <v>261</v>
      </c>
      <c r="F162" s="9" t="s">
        <v>264</v>
      </c>
      <c r="G162" s="9" t="s">
        <v>1113</v>
      </c>
      <c r="H162" s="10">
        <v>0.4</v>
      </c>
      <c r="I162" s="11">
        <v>81</v>
      </c>
      <c r="J162" s="11">
        <v>53</v>
      </c>
      <c r="K162" s="11">
        <v>25</v>
      </c>
      <c r="L162" s="11">
        <v>160</v>
      </c>
      <c r="M162" s="9" t="s">
        <v>274</v>
      </c>
      <c r="N162" s="9" t="s">
        <v>279</v>
      </c>
      <c r="O162" s="9" t="s">
        <v>267</v>
      </c>
      <c r="Q162" s="9">
        <v>1</v>
      </c>
      <c r="R162" s="9" t="s">
        <v>268</v>
      </c>
      <c r="S162" s="9" t="s">
        <v>272</v>
      </c>
      <c r="T162" s="9" t="s">
        <v>270</v>
      </c>
      <c r="U162" s="9">
        <v>1</v>
      </c>
      <c r="V162" s="9" t="s">
        <v>268</v>
      </c>
      <c r="W162" s="9" t="s">
        <v>272</v>
      </c>
      <c r="X162" s="9" t="s">
        <v>270</v>
      </c>
      <c r="AG162" s="15">
        <v>88</v>
      </c>
      <c r="AH162" s="21">
        <v>2</v>
      </c>
      <c r="AI162" s="9" t="s">
        <v>1120</v>
      </c>
      <c r="AJ162" s="9" t="s">
        <v>1138</v>
      </c>
    </row>
    <row r="163" spans="1:36" ht="15" customHeight="1" x14ac:dyDescent="0.2">
      <c r="A163" s="9" t="s">
        <v>212</v>
      </c>
      <c r="B163" s="9">
        <v>11</v>
      </c>
      <c r="C163" s="9" t="s">
        <v>246</v>
      </c>
      <c r="D163" s="9" t="s">
        <v>257</v>
      </c>
      <c r="E163" s="9" t="s">
        <v>263</v>
      </c>
      <c r="F163" s="9" t="s">
        <v>264</v>
      </c>
      <c r="G163" s="9" t="s">
        <v>1114</v>
      </c>
      <c r="H163" s="10">
        <v>0.6</v>
      </c>
      <c r="I163" s="11">
        <v>80</v>
      </c>
      <c r="J163" s="11">
        <v>78</v>
      </c>
      <c r="K163" s="11">
        <v>37</v>
      </c>
      <c r="L163" s="11">
        <v>317.10000000000002</v>
      </c>
      <c r="M163" s="9" t="s">
        <v>265</v>
      </c>
      <c r="O163" s="9" t="s">
        <v>267</v>
      </c>
      <c r="Q163" s="9">
        <v>3</v>
      </c>
      <c r="R163" s="9" t="s">
        <v>701</v>
      </c>
      <c r="S163" s="9" t="s">
        <v>269</v>
      </c>
      <c r="T163" s="9" t="s">
        <v>270</v>
      </c>
      <c r="AG163" s="15">
        <v>66</v>
      </c>
      <c r="AH163" s="21">
        <v>3</v>
      </c>
      <c r="AI163" s="9" t="s">
        <v>1120</v>
      </c>
      <c r="AJ163" s="9" t="s">
        <v>1138</v>
      </c>
    </row>
    <row r="164" spans="1:36" ht="15" customHeight="1" x14ac:dyDescent="0.2">
      <c r="A164" s="9" t="s">
        <v>213</v>
      </c>
      <c r="B164" s="9">
        <v>11</v>
      </c>
      <c r="C164" s="9" t="s">
        <v>246</v>
      </c>
      <c r="D164" s="9" t="s">
        <v>251</v>
      </c>
      <c r="E164" s="9" t="s">
        <v>262</v>
      </c>
      <c r="F164" s="9" t="s">
        <v>264</v>
      </c>
      <c r="G164" s="9" t="s">
        <v>837</v>
      </c>
      <c r="H164" s="10">
        <v>0.4</v>
      </c>
      <c r="I164" s="11">
        <v>66</v>
      </c>
      <c r="J164" s="11">
        <v>54</v>
      </c>
      <c r="K164" s="11">
        <v>31</v>
      </c>
      <c r="L164" s="11">
        <v>141.80000000000001</v>
      </c>
      <c r="M164" s="9" t="s">
        <v>274</v>
      </c>
      <c r="N164" s="9" t="s">
        <v>279</v>
      </c>
      <c r="O164" s="9" t="s">
        <v>266</v>
      </c>
      <c r="P164" s="9" t="s">
        <v>279</v>
      </c>
      <c r="Q164" s="9">
        <v>1</v>
      </c>
      <c r="R164" s="9" t="s">
        <v>701</v>
      </c>
      <c r="S164" s="9" t="s">
        <v>269</v>
      </c>
      <c r="T164" s="9" t="s">
        <v>270</v>
      </c>
      <c r="U164" s="9">
        <v>2</v>
      </c>
      <c r="V164" s="9" t="s">
        <v>268</v>
      </c>
      <c r="W164" s="9" t="s">
        <v>272</v>
      </c>
      <c r="X164" s="9" t="s">
        <v>270</v>
      </c>
      <c r="AG164" s="15">
        <v>88</v>
      </c>
      <c r="AH164" s="21">
        <v>3</v>
      </c>
      <c r="AI164" s="9" t="s">
        <v>1125</v>
      </c>
      <c r="AJ164" s="9" t="s">
        <v>1136</v>
      </c>
    </row>
    <row r="165" spans="1:36" ht="15" customHeight="1" x14ac:dyDescent="0.2">
      <c r="A165" s="9" t="s">
        <v>214</v>
      </c>
      <c r="B165" s="9">
        <v>11</v>
      </c>
      <c r="C165" s="9" t="s">
        <v>246</v>
      </c>
      <c r="D165" s="9" t="s">
        <v>255</v>
      </c>
      <c r="E165" s="9" t="s">
        <v>261</v>
      </c>
      <c r="F165" s="9" t="s">
        <v>264</v>
      </c>
      <c r="G165" s="9" t="s">
        <v>1114</v>
      </c>
      <c r="H165" s="10">
        <v>0.5</v>
      </c>
      <c r="I165" s="11">
        <v>97</v>
      </c>
      <c r="J165" s="11">
        <v>72</v>
      </c>
      <c r="K165" s="11">
        <v>56</v>
      </c>
      <c r="L165" s="11">
        <v>421.5</v>
      </c>
      <c r="M165" s="9" t="s">
        <v>274</v>
      </c>
      <c r="N165" s="9" t="s">
        <v>279</v>
      </c>
      <c r="O165" s="9" t="s">
        <v>266</v>
      </c>
      <c r="P165" s="9" t="s">
        <v>279</v>
      </c>
      <c r="Q165" s="9">
        <v>5</v>
      </c>
      <c r="R165" s="9" t="s">
        <v>701</v>
      </c>
      <c r="S165" s="9" t="s">
        <v>269</v>
      </c>
      <c r="T165" s="9" t="s">
        <v>270</v>
      </c>
      <c r="U165" s="9">
        <v>3</v>
      </c>
      <c r="V165" s="9" t="s">
        <v>268</v>
      </c>
      <c r="W165" s="9" t="s">
        <v>272</v>
      </c>
      <c r="X165" s="9" t="s">
        <v>270</v>
      </c>
      <c r="AG165" s="15">
        <v>89</v>
      </c>
      <c r="AH165" s="21">
        <v>8</v>
      </c>
      <c r="AI165" s="9" t="s">
        <v>1125</v>
      </c>
      <c r="AJ165" s="9" t="s">
        <v>1135</v>
      </c>
    </row>
    <row r="166" spans="1:36" ht="15" customHeight="1" x14ac:dyDescent="0.2">
      <c r="A166" s="9" t="s">
        <v>215</v>
      </c>
      <c r="B166" s="9">
        <v>11</v>
      </c>
      <c r="C166" s="9" t="s">
        <v>246</v>
      </c>
      <c r="D166" s="9" t="s">
        <v>253</v>
      </c>
      <c r="E166" s="9" t="s">
        <v>261</v>
      </c>
      <c r="F166" s="9" t="s">
        <v>264</v>
      </c>
      <c r="G166" s="9" t="s">
        <v>1114</v>
      </c>
      <c r="H166" s="10">
        <v>0.4</v>
      </c>
      <c r="I166" s="11">
        <v>85</v>
      </c>
      <c r="J166" s="11">
        <v>77</v>
      </c>
      <c r="K166" s="11">
        <v>64</v>
      </c>
      <c r="L166" s="11">
        <v>388.9</v>
      </c>
      <c r="M166" s="9" t="s">
        <v>265</v>
      </c>
      <c r="O166" s="9" t="s">
        <v>267</v>
      </c>
      <c r="Q166" s="9">
        <v>2</v>
      </c>
      <c r="R166" s="9" t="s">
        <v>701</v>
      </c>
      <c r="S166" s="9" t="s">
        <v>269</v>
      </c>
      <c r="T166" s="9" t="s">
        <v>270</v>
      </c>
      <c r="AG166" s="15">
        <v>85</v>
      </c>
      <c r="AH166" s="21">
        <v>2</v>
      </c>
      <c r="AI166" s="9" t="s">
        <v>1120</v>
      </c>
      <c r="AJ166" s="9" t="s">
        <v>1138</v>
      </c>
    </row>
    <row r="167" spans="1:36" ht="15" customHeight="1" x14ac:dyDescent="0.2">
      <c r="A167" s="9" t="s">
        <v>219</v>
      </c>
      <c r="B167" s="9">
        <v>11</v>
      </c>
      <c r="C167" s="9" t="s">
        <v>245</v>
      </c>
      <c r="D167" s="9" t="s">
        <v>257</v>
      </c>
      <c r="E167" s="9" t="s">
        <v>262</v>
      </c>
      <c r="F167" s="9" t="s">
        <v>264</v>
      </c>
      <c r="G167" s="9" t="s">
        <v>1114</v>
      </c>
      <c r="H167" s="10">
        <v>0.45</v>
      </c>
      <c r="I167" s="11">
        <v>56</v>
      </c>
      <c r="J167" s="11">
        <v>37</v>
      </c>
      <c r="K167" s="11">
        <v>37</v>
      </c>
      <c r="L167" s="11">
        <v>81.5</v>
      </c>
      <c r="M167" s="9" t="s">
        <v>274</v>
      </c>
      <c r="N167" s="9" t="s">
        <v>282</v>
      </c>
      <c r="O167" s="9" t="s">
        <v>266</v>
      </c>
      <c r="P167" s="9" t="s">
        <v>279</v>
      </c>
      <c r="Q167" s="9">
        <v>3</v>
      </c>
      <c r="R167" s="9" t="s">
        <v>268</v>
      </c>
      <c r="S167" s="9" t="s">
        <v>272</v>
      </c>
      <c r="T167" s="9" t="s">
        <v>270</v>
      </c>
      <c r="U167" s="9">
        <v>1</v>
      </c>
      <c r="V167" s="9" t="s">
        <v>268</v>
      </c>
      <c r="W167" s="9" t="s">
        <v>272</v>
      </c>
      <c r="X167" s="9" t="s">
        <v>270</v>
      </c>
      <c r="AG167" s="15">
        <v>84</v>
      </c>
      <c r="AH167" s="21">
        <v>4</v>
      </c>
      <c r="AI167" s="9" t="s">
        <v>1125</v>
      </c>
      <c r="AJ167" s="9" t="s">
        <v>1135</v>
      </c>
    </row>
    <row r="168" spans="1:36" ht="15" customHeight="1" x14ac:dyDescent="0.2">
      <c r="A168" s="9" t="s">
        <v>705</v>
      </c>
      <c r="B168" s="9">
        <v>11</v>
      </c>
      <c r="C168" s="9" t="s">
        <v>246</v>
      </c>
      <c r="D168" s="9" t="s">
        <v>251</v>
      </c>
      <c r="E168" s="9" t="s">
        <v>260</v>
      </c>
      <c r="F168" s="9" t="s">
        <v>264</v>
      </c>
      <c r="G168" s="9" t="s">
        <v>1114</v>
      </c>
      <c r="H168" s="10">
        <v>0.6</v>
      </c>
      <c r="I168" s="9">
        <v>74</v>
      </c>
      <c r="J168" s="9">
        <v>59</v>
      </c>
      <c r="K168" s="9">
        <v>39</v>
      </c>
      <c r="L168" s="9">
        <v>236.2</v>
      </c>
      <c r="M168" s="9" t="s">
        <v>265</v>
      </c>
      <c r="O168" s="9" t="s">
        <v>267</v>
      </c>
      <c r="Q168" s="9">
        <v>4</v>
      </c>
      <c r="R168" s="9" t="s">
        <v>268</v>
      </c>
      <c r="S168" s="9" t="s">
        <v>272</v>
      </c>
      <c r="T168" s="9" t="s">
        <v>270</v>
      </c>
      <c r="AG168" s="15">
        <v>67</v>
      </c>
      <c r="AH168" s="21">
        <v>4</v>
      </c>
      <c r="AI168" s="9" t="s">
        <v>1120</v>
      </c>
      <c r="AJ168" s="9" t="s">
        <v>1138</v>
      </c>
    </row>
    <row r="169" spans="1:36" ht="15" customHeight="1" x14ac:dyDescent="0.2">
      <c r="A169" s="9" t="s">
        <v>712</v>
      </c>
      <c r="B169" s="9">
        <v>11</v>
      </c>
      <c r="C169" s="9" t="s">
        <v>245</v>
      </c>
      <c r="D169" s="9" t="s">
        <v>251</v>
      </c>
      <c r="E169" s="9" t="s">
        <v>260</v>
      </c>
      <c r="F169" s="9" t="s">
        <v>264</v>
      </c>
      <c r="G169" s="9" t="s">
        <v>1114</v>
      </c>
      <c r="H169" s="10">
        <v>0.7</v>
      </c>
      <c r="I169" s="9">
        <v>64</v>
      </c>
      <c r="J169" s="9">
        <v>53</v>
      </c>
      <c r="K169" s="9">
        <v>41</v>
      </c>
      <c r="L169" s="9">
        <v>166.9</v>
      </c>
      <c r="M169" s="9" t="s">
        <v>265</v>
      </c>
      <c r="O169" s="9" t="s">
        <v>266</v>
      </c>
      <c r="P169" s="9" t="s">
        <v>279</v>
      </c>
      <c r="Q169" s="9">
        <v>3</v>
      </c>
      <c r="R169" s="9" t="s">
        <v>268</v>
      </c>
      <c r="S169" s="9" t="s">
        <v>272</v>
      </c>
      <c r="T169" s="9" t="s">
        <v>709</v>
      </c>
      <c r="AG169" s="15">
        <v>70</v>
      </c>
      <c r="AH169" s="21">
        <v>3</v>
      </c>
      <c r="AI169" s="9" t="s">
        <v>1128</v>
      </c>
      <c r="AJ169" s="9" t="s">
        <v>1138</v>
      </c>
    </row>
    <row r="170" spans="1:36" ht="15" customHeight="1" x14ac:dyDescent="0.2">
      <c r="A170" s="9" t="s">
        <v>764</v>
      </c>
      <c r="B170" s="9">
        <v>11</v>
      </c>
      <c r="C170" s="9" t="s">
        <v>245</v>
      </c>
      <c r="D170" s="9" t="s">
        <v>251</v>
      </c>
      <c r="E170" s="9" t="s">
        <v>262</v>
      </c>
      <c r="F170" s="9" t="s">
        <v>264</v>
      </c>
      <c r="G170" s="9" t="s">
        <v>1114</v>
      </c>
      <c r="H170" s="10">
        <v>0.6</v>
      </c>
      <c r="I170" s="9">
        <v>64</v>
      </c>
      <c r="J170" s="9">
        <v>64</v>
      </c>
      <c r="K170" s="9">
        <v>35</v>
      </c>
      <c r="L170" s="9">
        <v>169.5</v>
      </c>
      <c r="M170" s="9" t="s">
        <v>274</v>
      </c>
      <c r="N170" s="9" t="s">
        <v>279</v>
      </c>
      <c r="O170" s="9" t="s">
        <v>267</v>
      </c>
      <c r="Q170" s="9">
        <v>3</v>
      </c>
      <c r="R170" s="9" t="s">
        <v>268</v>
      </c>
      <c r="S170" s="9" t="s">
        <v>272</v>
      </c>
      <c r="T170" s="9" t="s">
        <v>270</v>
      </c>
      <c r="U170" s="9">
        <v>2</v>
      </c>
      <c r="V170" s="9" t="s">
        <v>268</v>
      </c>
      <c r="W170" s="9" t="s">
        <v>272</v>
      </c>
      <c r="X170" s="9" t="s">
        <v>270</v>
      </c>
      <c r="AG170" s="15">
        <v>54</v>
      </c>
      <c r="AH170" s="21">
        <v>5</v>
      </c>
      <c r="AI170" s="9" t="s">
        <v>1120</v>
      </c>
      <c r="AJ170" s="9" t="s">
        <v>1138</v>
      </c>
    </row>
    <row r="171" spans="1:36" ht="15" customHeight="1" x14ac:dyDescent="0.2">
      <c r="A171" s="9" t="s">
        <v>770</v>
      </c>
      <c r="B171" s="9">
        <v>11</v>
      </c>
      <c r="C171" s="9" t="s">
        <v>246</v>
      </c>
      <c r="D171" s="9" t="s">
        <v>251</v>
      </c>
      <c r="E171" s="9" t="s">
        <v>760</v>
      </c>
      <c r="F171" s="9" t="s">
        <v>264</v>
      </c>
      <c r="G171" s="9" t="s">
        <v>1114</v>
      </c>
      <c r="H171" s="10">
        <v>0.45</v>
      </c>
      <c r="I171" s="9">
        <v>89</v>
      </c>
      <c r="J171" s="9">
        <v>82</v>
      </c>
      <c r="K171" s="9">
        <v>65</v>
      </c>
      <c r="L171" s="9">
        <v>791.9</v>
      </c>
      <c r="M171" s="9" t="s">
        <v>727</v>
      </c>
      <c r="N171" s="9" t="s">
        <v>728</v>
      </c>
      <c r="O171" s="9" t="s">
        <v>710</v>
      </c>
      <c r="P171" s="9" t="s">
        <v>699</v>
      </c>
      <c r="Q171" s="9">
        <v>3</v>
      </c>
      <c r="R171" s="9" t="s">
        <v>701</v>
      </c>
      <c r="S171" s="9" t="s">
        <v>269</v>
      </c>
      <c r="T171" s="9" t="s">
        <v>270</v>
      </c>
      <c r="U171" s="9">
        <v>2</v>
      </c>
      <c r="V171" s="9" t="s">
        <v>268</v>
      </c>
      <c r="W171" s="9" t="s">
        <v>272</v>
      </c>
      <c r="X171" s="9" t="s">
        <v>270</v>
      </c>
      <c r="Y171" s="9">
        <v>4</v>
      </c>
      <c r="Z171" s="9" t="s">
        <v>268</v>
      </c>
      <c r="AA171" s="9" t="s">
        <v>272</v>
      </c>
      <c r="AB171" s="9" t="s">
        <v>709</v>
      </c>
      <c r="AC171" s="9">
        <v>1</v>
      </c>
      <c r="AD171" s="9" t="s">
        <v>701</v>
      </c>
      <c r="AE171" s="9" t="s">
        <v>269</v>
      </c>
      <c r="AF171" s="9" t="s">
        <v>270</v>
      </c>
      <c r="AG171" s="15">
        <v>89</v>
      </c>
      <c r="AH171" s="21">
        <v>10</v>
      </c>
      <c r="AI171" s="9" t="s">
        <v>1127</v>
      </c>
      <c r="AJ171" s="9" t="s">
        <v>766</v>
      </c>
    </row>
    <row r="172" spans="1:36" ht="15" customHeight="1" x14ac:dyDescent="0.2">
      <c r="A172" s="9" t="s">
        <v>154</v>
      </c>
      <c r="B172" s="9">
        <v>12</v>
      </c>
      <c r="C172" s="9" t="s">
        <v>247</v>
      </c>
      <c r="D172" s="9" t="s">
        <v>251</v>
      </c>
      <c r="E172" s="9" t="s">
        <v>262</v>
      </c>
      <c r="F172" s="9" t="s">
        <v>264</v>
      </c>
      <c r="G172" s="9" t="s">
        <v>1114</v>
      </c>
      <c r="H172" s="10">
        <v>0.6</v>
      </c>
      <c r="I172" s="11">
        <v>76</v>
      </c>
      <c r="J172" s="11">
        <v>65</v>
      </c>
      <c r="K172" s="11">
        <v>40</v>
      </c>
      <c r="L172" s="11">
        <v>255.3</v>
      </c>
      <c r="M172" s="9" t="s">
        <v>265</v>
      </c>
      <c r="O172" s="9" t="s">
        <v>710</v>
      </c>
      <c r="P172" s="9" t="s">
        <v>275</v>
      </c>
      <c r="Q172" s="9">
        <v>4</v>
      </c>
      <c r="R172" s="9" t="s">
        <v>701</v>
      </c>
      <c r="S172" s="9" t="s">
        <v>269</v>
      </c>
      <c r="T172" s="9" t="s">
        <v>758</v>
      </c>
      <c r="AG172" s="15">
        <v>74</v>
      </c>
      <c r="AH172" s="21">
        <v>4</v>
      </c>
      <c r="AI172" s="9" t="s">
        <v>1123</v>
      </c>
      <c r="AJ172" s="9" t="s">
        <v>767</v>
      </c>
    </row>
    <row r="173" spans="1:36" ht="15" customHeight="1" x14ac:dyDescent="0.2">
      <c r="A173" s="9" t="s">
        <v>155</v>
      </c>
      <c r="B173" s="9">
        <v>12</v>
      </c>
      <c r="C173" s="9" t="s">
        <v>247</v>
      </c>
      <c r="D173" s="9" t="s">
        <v>251</v>
      </c>
      <c r="E173" s="9" t="s">
        <v>261</v>
      </c>
      <c r="F173" s="9" t="s">
        <v>264</v>
      </c>
      <c r="G173" s="9" t="s">
        <v>1113</v>
      </c>
      <c r="H173" s="10">
        <v>0.45</v>
      </c>
      <c r="I173" s="11">
        <v>83</v>
      </c>
      <c r="J173" s="11">
        <v>67</v>
      </c>
      <c r="K173" s="11">
        <v>60</v>
      </c>
      <c r="L173" s="11">
        <v>305.39999999999998</v>
      </c>
      <c r="M173" s="9" t="s">
        <v>698</v>
      </c>
      <c r="N173" s="9" t="s">
        <v>699</v>
      </c>
      <c r="O173" s="9" t="s">
        <v>266</v>
      </c>
      <c r="P173" s="9" t="s">
        <v>279</v>
      </c>
      <c r="Q173" s="9">
        <v>3</v>
      </c>
      <c r="R173" s="9" t="s">
        <v>268</v>
      </c>
      <c r="S173" s="9" t="s">
        <v>272</v>
      </c>
      <c r="T173" s="9" t="s">
        <v>270</v>
      </c>
      <c r="U173" s="9">
        <v>2</v>
      </c>
      <c r="V173" s="9" t="s">
        <v>268</v>
      </c>
      <c r="W173" s="9" t="s">
        <v>272</v>
      </c>
      <c r="X173" s="9" t="s">
        <v>270</v>
      </c>
      <c r="Y173" s="9">
        <v>1</v>
      </c>
      <c r="Z173" s="9" t="s">
        <v>268</v>
      </c>
      <c r="AA173" s="9" t="s">
        <v>269</v>
      </c>
      <c r="AB173" s="9" t="s">
        <v>270</v>
      </c>
      <c r="AG173" s="15">
        <v>76</v>
      </c>
      <c r="AH173" s="21">
        <v>6</v>
      </c>
      <c r="AI173" s="9" t="s">
        <v>1130</v>
      </c>
      <c r="AJ173" s="9" t="s">
        <v>766</v>
      </c>
    </row>
    <row r="174" spans="1:36" ht="15" customHeight="1" x14ac:dyDescent="0.2">
      <c r="A174" s="9" t="s">
        <v>156</v>
      </c>
      <c r="B174" s="9">
        <v>12</v>
      </c>
      <c r="C174" s="9" t="s">
        <v>247</v>
      </c>
      <c r="D174" s="9" t="s">
        <v>251</v>
      </c>
      <c r="E174" s="9" t="s">
        <v>262</v>
      </c>
      <c r="F174" s="9" t="s">
        <v>264</v>
      </c>
      <c r="G174" s="9" t="s">
        <v>1114</v>
      </c>
      <c r="H174" s="10">
        <v>0.25</v>
      </c>
      <c r="I174" s="11">
        <v>57</v>
      </c>
      <c r="J174" s="11">
        <v>53</v>
      </c>
      <c r="K174" s="11">
        <v>57</v>
      </c>
      <c r="L174" s="11">
        <v>150</v>
      </c>
      <c r="M174" s="9" t="s">
        <v>274</v>
      </c>
      <c r="N174" s="9" t="s">
        <v>279</v>
      </c>
      <c r="O174" s="9" t="s">
        <v>710</v>
      </c>
      <c r="P174" s="9" t="s">
        <v>275</v>
      </c>
      <c r="Q174" s="9">
        <v>7</v>
      </c>
      <c r="R174" s="9" t="s">
        <v>701</v>
      </c>
      <c r="S174" s="9" t="s">
        <v>269</v>
      </c>
      <c r="T174" s="9" t="s">
        <v>758</v>
      </c>
      <c r="U174" s="9">
        <v>1</v>
      </c>
      <c r="V174" s="9" t="s">
        <v>701</v>
      </c>
      <c r="W174" s="9" t="s">
        <v>269</v>
      </c>
      <c r="X174" s="9" t="s">
        <v>270</v>
      </c>
      <c r="AG174" s="15">
        <v>112</v>
      </c>
      <c r="AH174" s="21">
        <v>8</v>
      </c>
      <c r="AI174" s="9" t="s">
        <v>1123</v>
      </c>
      <c r="AJ174" s="9" t="s">
        <v>767</v>
      </c>
    </row>
    <row r="175" spans="1:36" ht="15" customHeight="1" x14ac:dyDescent="0.2">
      <c r="A175" s="9" t="s">
        <v>157</v>
      </c>
      <c r="B175" s="9">
        <v>12</v>
      </c>
      <c r="C175" s="9" t="s">
        <v>247</v>
      </c>
      <c r="D175" s="9" t="s">
        <v>251</v>
      </c>
      <c r="E175" s="9" t="s">
        <v>260</v>
      </c>
      <c r="F175" s="9" t="s">
        <v>264</v>
      </c>
      <c r="G175" s="9" t="s">
        <v>1114</v>
      </c>
      <c r="H175" s="10">
        <v>0.6</v>
      </c>
      <c r="I175" s="11">
        <v>57</v>
      </c>
      <c r="J175" s="11">
        <v>54</v>
      </c>
      <c r="K175" s="11">
        <v>53</v>
      </c>
      <c r="L175" s="11">
        <v>248.3</v>
      </c>
      <c r="M175" s="9" t="s">
        <v>265</v>
      </c>
      <c r="O175" s="9" t="s">
        <v>267</v>
      </c>
      <c r="Q175" s="9">
        <v>3</v>
      </c>
      <c r="R175" s="9" t="s">
        <v>268</v>
      </c>
      <c r="S175" s="9" t="s">
        <v>272</v>
      </c>
      <c r="T175" s="9" t="s">
        <v>270</v>
      </c>
      <c r="AG175" s="15">
        <v>94</v>
      </c>
      <c r="AH175" s="21">
        <v>3</v>
      </c>
      <c r="AI175" s="9" t="s">
        <v>1120</v>
      </c>
      <c r="AJ175" s="9" t="s">
        <v>1138</v>
      </c>
    </row>
    <row r="176" spans="1:36" ht="15" customHeight="1" x14ac:dyDescent="0.2">
      <c r="A176" s="9" t="s">
        <v>158</v>
      </c>
      <c r="B176" s="9">
        <v>12</v>
      </c>
      <c r="C176" s="9" t="s">
        <v>247</v>
      </c>
      <c r="D176" s="9" t="s">
        <v>251</v>
      </c>
      <c r="E176" s="9" t="s">
        <v>261</v>
      </c>
      <c r="F176" s="9" t="s">
        <v>264</v>
      </c>
      <c r="G176" s="9" t="s">
        <v>1114</v>
      </c>
      <c r="H176" s="10">
        <v>0.5</v>
      </c>
      <c r="I176" s="11">
        <v>70</v>
      </c>
      <c r="J176" s="11">
        <v>55</v>
      </c>
      <c r="K176" s="11">
        <v>44</v>
      </c>
      <c r="L176" s="11">
        <v>245.5</v>
      </c>
      <c r="M176" s="9" t="s">
        <v>265</v>
      </c>
      <c r="O176" s="9" t="s">
        <v>267</v>
      </c>
      <c r="Q176" s="9">
        <v>4</v>
      </c>
      <c r="R176" s="9" t="s">
        <v>268</v>
      </c>
      <c r="S176" s="9" t="s">
        <v>272</v>
      </c>
      <c r="T176" s="9" t="s">
        <v>270</v>
      </c>
      <c r="AG176" s="15">
        <v>84</v>
      </c>
      <c r="AH176" s="21">
        <v>4</v>
      </c>
      <c r="AI176" s="9" t="s">
        <v>1120</v>
      </c>
      <c r="AJ176" s="9" t="s">
        <v>1138</v>
      </c>
    </row>
    <row r="177" spans="1:36" ht="15" customHeight="1" x14ac:dyDescent="0.2">
      <c r="A177" s="9" t="s">
        <v>163</v>
      </c>
      <c r="B177" s="9">
        <v>12</v>
      </c>
      <c r="C177" s="9" t="s">
        <v>247</v>
      </c>
      <c r="D177" s="9" t="s">
        <v>251</v>
      </c>
      <c r="E177" s="9" t="s">
        <v>261</v>
      </c>
      <c r="F177" s="9" t="s">
        <v>264</v>
      </c>
      <c r="G177" s="9" t="s">
        <v>1114</v>
      </c>
      <c r="H177" s="10">
        <v>0.6</v>
      </c>
      <c r="I177" s="11">
        <v>77</v>
      </c>
      <c r="J177" s="11">
        <v>65</v>
      </c>
      <c r="K177" s="11">
        <v>55</v>
      </c>
      <c r="L177" s="11">
        <v>424.9</v>
      </c>
      <c r="M177" s="9" t="s">
        <v>265</v>
      </c>
      <c r="O177" s="9" t="s">
        <v>267</v>
      </c>
      <c r="Q177" s="9">
        <v>7</v>
      </c>
      <c r="R177" s="9" t="s">
        <v>268</v>
      </c>
      <c r="S177" s="9" t="s">
        <v>269</v>
      </c>
      <c r="T177" s="9" t="s">
        <v>270</v>
      </c>
      <c r="AG177" s="15">
        <v>87</v>
      </c>
      <c r="AH177" s="21">
        <v>7</v>
      </c>
      <c r="AI177" s="9" t="s">
        <v>1120</v>
      </c>
      <c r="AJ177" s="9" t="s">
        <v>1138</v>
      </c>
    </row>
    <row r="178" spans="1:36" ht="15" customHeight="1" x14ac:dyDescent="0.2">
      <c r="A178" s="9" t="s">
        <v>164</v>
      </c>
      <c r="B178" s="9">
        <v>12</v>
      </c>
      <c r="C178" s="9" t="s">
        <v>247</v>
      </c>
      <c r="D178" s="9" t="s">
        <v>251</v>
      </c>
      <c r="E178" s="9" t="s">
        <v>261</v>
      </c>
      <c r="F178" s="9" t="s">
        <v>264</v>
      </c>
      <c r="G178" s="9" t="s">
        <v>1114</v>
      </c>
      <c r="H178" s="10">
        <v>0.6</v>
      </c>
      <c r="I178" s="11">
        <v>58</v>
      </c>
      <c r="J178" s="11">
        <v>43</v>
      </c>
      <c r="K178" s="11">
        <v>30</v>
      </c>
      <c r="L178" s="11">
        <v>75.2</v>
      </c>
      <c r="M178" s="9" t="s">
        <v>265</v>
      </c>
      <c r="O178" s="9" t="s">
        <v>710</v>
      </c>
      <c r="P178" s="9" t="s">
        <v>275</v>
      </c>
      <c r="Q178" s="9">
        <v>5</v>
      </c>
      <c r="R178" s="9" t="s">
        <v>701</v>
      </c>
      <c r="S178" s="9" t="s">
        <v>269</v>
      </c>
      <c r="T178" s="9" t="s">
        <v>758</v>
      </c>
      <c r="AG178" s="15">
        <v>97</v>
      </c>
      <c r="AH178" s="21">
        <v>5</v>
      </c>
      <c r="AI178" s="9" t="s">
        <v>1123</v>
      </c>
      <c r="AJ178" s="9" t="s">
        <v>767</v>
      </c>
    </row>
    <row r="179" spans="1:36" ht="15" customHeight="1" x14ac:dyDescent="0.2">
      <c r="A179" s="9" t="s">
        <v>166</v>
      </c>
      <c r="B179" s="9">
        <v>12</v>
      </c>
      <c r="C179" s="9" t="s">
        <v>248</v>
      </c>
      <c r="D179" s="9" t="s">
        <v>251</v>
      </c>
      <c r="E179" s="9" t="s">
        <v>262</v>
      </c>
      <c r="F179" s="9" t="s">
        <v>264</v>
      </c>
      <c r="G179" s="9" t="s">
        <v>1114</v>
      </c>
      <c r="H179" s="10">
        <v>0.65</v>
      </c>
      <c r="I179" s="11">
        <v>90</v>
      </c>
      <c r="J179" s="11">
        <v>67</v>
      </c>
      <c r="K179" s="11">
        <v>60</v>
      </c>
      <c r="L179" s="11">
        <v>475.1</v>
      </c>
      <c r="M179" s="9" t="s">
        <v>265</v>
      </c>
      <c r="O179" s="9" t="s">
        <v>267</v>
      </c>
      <c r="Q179" s="9">
        <v>5</v>
      </c>
      <c r="R179" s="9" t="s">
        <v>268</v>
      </c>
      <c r="S179" s="9" t="s">
        <v>272</v>
      </c>
      <c r="T179" s="9" t="s">
        <v>270</v>
      </c>
      <c r="AG179" s="15">
        <v>81</v>
      </c>
      <c r="AH179" s="21">
        <v>5</v>
      </c>
      <c r="AI179" s="9" t="s">
        <v>1120</v>
      </c>
      <c r="AJ179" s="9" t="s">
        <v>1138</v>
      </c>
    </row>
    <row r="180" spans="1:36" ht="15" customHeight="1" x14ac:dyDescent="0.2">
      <c r="A180" s="9" t="s">
        <v>168</v>
      </c>
      <c r="B180" s="9">
        <v>12</v>
      </c>
      <c r="C180" s="9" t="s">
        <v>248</v>
      </c>
      <c r="D180" s="9" t="s">
        <v>251</v>
      </c>
      <c r="E180" s="9" t="s">
        <v>261</v>
      </c>
      <c r="F180" s="9" t="s">
        <v>264</v>
      </c>
      <c r="G180" s="9" t="s">
        <v>287</v>
      </c>
      <c r="H180" s="10">
        <v>0.4</v>
      </c>
      <c r="I180" s="11">
        <v>70</v>
      </c>
      <c r="J180" s="11">
        <v>57</v>
      </c>
      <c r="K180" s="11">
        <v>28</v>
      </c>
      <c r="L180" s="11">
        <v>133.5</v>
      </c>
      <c r="M180" s="9" t="s">
        <v>274</v>
      </c>
      <c r="N180" s="9" t="s">
        <v>279</v>
      </c>
      <c r="O180" s="9" t="s">
        <v>266</v>
      </c>
      <c r="P180" s="9" t="s">
        <v>282</v>
      </c>
      <c r="Q180" s="9">
        <v>3</v>
      </c>
      <c r="R180" s="9" t="s">
        <v>268</v>
      </c>
      <c r="S180" s="9" t="s">
        <v>272</v>
      </c>
      <c r="T180" s="9" t="s">
        <v>270</v>
      </c>
      <c r="U180" s="9">
        <v>7</v>
      </c>
      <c r="V180" s="9" t="s">
        <v>268</v>
      </c>
      <c r="W180" s="9" t="s">
        <v>272</v>
      </c>
      <c r="X180" s="9" t="s">
        <v>278</v>
      </c>
      <c r="AG180" s="15">
        <v>76</v>
      </c>
      <c r="AH180" s="21">
        <v>10</v>
      </c>
      <c r="AI180" s="9" t="s">
        <v>1131</v>
      </c>
      <c r="AJ180" s="9" t="s">
        <v>1138</v>
      </c>
    </row>
    <row r="181" spans="1:36" ht="15" customHeight="1" x14ac:dyDescent="0.2">
      <c r="A181" s="9" t="s">
        <v>273</v>
      </c>
      <c r="B181" s="9">
        <v>12</v>
      </c>
      <c r="C181" s="9" t="s">
        <v>248</v>
      </c>
      <c r="D181" s="9" t="s">
        <v>251</v>
      </c>
      <c r="E181" s="9" t="s">
        <v>262</v>
      </c>
      <c r="F181" s="9" t="s">
        <v>264</v>
      </c>
      <c r="G181" s="9" t="s">
        <v>1114</v>
      </c>
      <c r="H181" s="10">
        <v>0.65</v>
      </c>
      <c r="I181" s="11">
        <v>43</v>
      </c>
      <c r="J181" s="11">
        <v>41</v>
      </c>
      <c r="K181" s="11">
        <v>28</v>
      </c>
      <c r="L181" s="11">
        <v>61.6</v>
      </c>
      <c r="M181" s="9" t="s">
        <v>265</v>
      </c>
      <c r="O181" s="9" t="s">
        <v>267</v>
      </c>
      <c r="Q181" s="9">
        <v>3</v>
      </c>
      <c r="R181" s="9" t="s">
        <v>268</v>
      </c>
      <c r="S181" s="9" t="s">
        <v>272</v>
      </c>
      <c r="T181" s="9" t="s">
        <v>270</v>
      </c>
      <c r="AG181" s="15">
        <v>78</v>
      </c>
      <c r="AH181" s="21">
        <v>3</v>
      </c>
      <c r="AI181" s="9" t="s">
        <v>1120</v>
      </c>
      <c r="AJ181" s="9" t="s">
        <v>1138</v>
      </c>
    </row>
    <row r="182" spans="1:36" ht="15" customHeight="1" x14ac:dyDescent="0.2">
      <c r="A182" s="9" t="s">
        <v>730</v>
      </c>
      <c r="B182" s="9">
        <v>12</v>
      </c>
      <c r="C182" s="9" t="s">
        <v>248</v>
      </c>
      <c r="D182" s="9" t="s">
        <v>251</v>
      </c>
      <c r="E182" s="9" t="s">
        <v>262</v>
      </c>
      <c r="F182" s="9" t="s">
        <v>264</v>
      </c>
      <c r="G182" s="9" t="s">
        <v>1114</v>
      </c>
      <c r="H182" s="10">
        <v>0.35</v>
      </c>
      <c r="I182" s="11">
        <v>52</v>
      </c>
      <c r="J182" s="11">
        <v>40</v>
      </c>
      <c r="K182" s="11">
        <v>35</v>
      </c>
      <c r="L182" s="11">
        <v>69.5</v>
      </c>
      <c r="M182" s="9" t="s">
        <v>265</v>
      </c>
      <c r="O182" s="9" t="s">
        <v>267</v>
      </c>
      <c r="Q182" s="9">
        <v>1</v>
      </c>
      <c r="R182" s="9" t="s">
        <v>268</v>
      </c>
      <c r="S182" s="9" t="s">
        <v>272</v>
      </c>
      <c r="T182" s="9" t="s">
        <v>270</v>
      </c>
      <c r="AG182" s="15">
        <v>78</v>
      </c>
      <c r="AH182" s="21">
        <v>1</v>
      </c>
      <c r="AI182" s="9" t="s">
        <v>1121</v>
      </c>
      <c r="AJ182" s="9" t="s">
        <v>1134</v>
      </c>
    </row>
    <row r="183" spans="1:36" ht="15" customHeight="1" x14ac:dyDescent="0.2">
      <c r="A183" s="9" t="s">
        <v>171</v>
      </c>
      <c r="B183" s="9">
        <v>12</v>
      </c>
      <c r="C183" s="9" t="s">
        <v>248</v>
      </c>
      <c r="D183" s="9" t="s">
        <v>251</v>
      </c>
      <c r="E183" s="9" t="s">
        <v>261</v>
      </c>
      <c r="F183" s="9" t="s">
        <v>264</v>
      </c>
      <c r="G183" s="9" t="s">
        <v>1113</v>
      </c>
      <c r="H183" s="10">
        <v>0.55000000000000004</v>
      </c>
      <c r="I183" s="11">
        <v>67</v>
      </c>
      <c r="J183" s="11">
        <v>45</v>
      </c>
      <c r="K183" s="11">
        <v>29</v>
      </c>
      <c r="L183" s="11">
        <v>98.2</v>
      </c>
      <c r="M183" s="9" t="s">
        <v>265</v>
      </c>
      <c r="O183" s="9" t="s">
        <v>267</v>
      </c>
      <c r="Q183" s="9">
        <v>5</v>
      </c>
      <c r="R183" s="9" t="s">
        <v>268</v>
      </c>
      <c r="S183" s="9" t="s">
        <v>272</v>
      </c>
      <c r="T183" s="9" t="s">
        <v>270</v>
      </c>
      <c r="AG183" s="15">
        <v>91</v>
      </c>
      <c r="AH183" s="21">
        <v>5</v>
      </c>
      <c r="AI183" s="9" t="s">
        <v>1120</v>
      </c>
      <c r="AJ183" s="9" t="s">
        <v>1138</v>
      </c>
    </row>
    <row r="184" spans="1:36" ht="15" customHeight="1" x14ac:dyDescent="0.2">
      <c r="A184" s="9" t="s">
        <v>217</v>
      </c>
      <c r="B184" s="9">
        <v>12</v>
      </c>
      <c r="C184" s="9" t="s">
        <v>247</v>
      </c>
      <c r="D184" s="9" t="s">
        <v>251</v>
      </c>
      <c r="E184" s="9" t="s">
        <v>261</v>
      </c>
      <c r="F184" s="9" t="s">
        <v>264</v>
      </c>
      <c r="G184" s="9" t="s">
        <v>1110</v>
      </c>
      <c r="H184" s="10">
        <v>0.45</v>
      </c>
      <c r="I184" s="11">
        <v>61</v>
      </c>
      <c r="J184" s="11">
        <v>77</v>
      </c>
      <c r="K184" s="11">
        <v>31</v>
      </c>
      <c r="L184" s="11">
        <v>195.2</v>
      </c>
      <c r="M184" s="9" t="s">
        <v>274</v>
      </c>
      <c r="N184" s="9" t="s">
        <v>279</v>
      </c>
      <c r="O184" s="9" t="s">
        <v>267</v>
      </c>
      <c r="Q184" s="9">
        <v>3</v>
      </c>
      <c r="R184" s="9" t="s">
        <v>268</v>
      </c>
      <c r="S184" s="9" t="s">
        <v>272</v>
      </c>
      <c r="T184" s="9" t="s">
        <v>270</v>
      </c>
      <c r="U184" s="9">
        <v>1</v>
      </c>
      <c r="V184" s="9" t="s">
        <v>268</v>
      </c>
      <c r="W184" s="9" t="s">
        <v>272</v>
      </c>
      <c r="X184" s="9" t="s">
        <v>270</v>
      </c>
      <c r="AG184" s="15">
        <v>81</v>
      </c>
      <c r="AH184" s="21">
        <v>4</v>
      </c>
      <c r="AI184" s="9" t="s">
        <v>1120</v>
      </c>
      <c r="AJ184" s="9" t="s">
        <v>1138</v>
      </c>
    </row>
    <row r="185" spans="1:36" ht="15" customHeight="1" x14ac:dyDescent="0.2">
      <c r="A185" s="9" t="s">
        <v>703</v>
      </c>
      <c r="B185" s="9">
        <v>12</v>
      </c>
      <c r="C185" s="9" t="s">
        <v>247</v>
      </c>
      <c r="D185" s="9" t="s">
        <v>251</v>
      </c>
      <c r="E185" s="9" t="s">
        <v>261</v>
      </c>
      <c r="F185" s="9" t="s">
        <v>264</v>
      </c>
      <c r="G185" s="9" t="s">
        <v>1113</v>
      </c>
      <c r="H185" s="10">
        <v>0.2</v>
      </c>
      <c r="I185" s="9">
        <v>70</v>
      </c>
      <c r="J185" s="9">
        <v>60</v>
      </c>
      <c r="K185" s="9">
        <v>38</v>
      </c>
      <c r="L185" s="9">
        <v>174.3</v>
      </c>
      <c r="M185" s="9" t="s">
        <v>265</v>
      </c>
      <c r="O185" s="9" t="s">
        <v>267</v>
      </c>
      <c r="Q185" s="9">
        <v>3</v>
      </c>
      <c r="R185" s="9" t="s">
        <v>268</v>
      </c>
      <c r="S185" s="9" t="s">
        <v>272</v>
      </c>
      <c r="T185" s="9" t="s">
        <v>270</v>
      </c>
      <c r="AG185" s="15">
        <v>61</v>
      </c>
      <c r="AH185" s="21">
        <v>3</v>
      </c>
      <c r="AI185" s="9" t="s">
        <v>1120</v>
      </c>
      <c r="AJ185" s="9" t="s">
        <v>1138</v>
      </c>
    </row>
    <row r="186" spans="1:36" ht="15" customHeight="1" x14ac:dyDescent="0.2">
      <c r="A186" s="9" t="s">
        <v>704</v>
      </c>
      <c r="B186" s="9">
        <v>12</v>
      </c>
      <c r="C186" s="9" t="s">
        <v>247</v>
      </c>
      <c r="D186" s="9" t="s">
        <v>253</v>
      </c>
      <c r="E186" s="9" t="s">
        <v>260</v>
      </c>
      <c r="F186" s="9" t="s">
        <v>264</v>
      </c>
      <c r="G186" s="9" t="s">
        <v>1114</v>
      </c>
      <c r="H186" s="10">
        <v>0.7</v>
      </c>
      <c r="I186" s="9">
        <v>70</v>
      </c>
      <c r="J186" s="9">
        <v>51</v>
      </c>
      <c r="K186" s="9">
        <v>40</v>
      </c>
      <c r="L186" s="9">
        <v>184.2</v>
      </c>
      <c r="M186" s="9" t="s">
        <v>265</v>
      </c>
      <c r="O186" s="9" t="s">
        <v>267</v>
      </c>
      <c r="Q186" s="9">
        <v>1</v>
      </c>
      <c r="R186" s="9" t="s">
        <v>268</v>
      </c>
      <c r="S186" s="9" t="s">
        <v>272</v>
      </c>
      <c r="T186" s="9" t="s">
        <v>270</v>
      </c>
      <c r="AG186" s="15">
        <v>63</v>
      </c>
      <c r="AH186" s="21">
        <v>1</v>
      </c>
      <c r="AI186" s="9" t="s">
        <v>1121</v>
      </c>
      <c r="AJ186" s="9" t="s">
        <v>1134</v>
      </c>
    </row>
    <row r="187" spans="1:36" ht="15" customHeight="1" x14ac:dyDescent="0.2">
      <c r="A187" s="9" t="s">
        <v>744</v>
      </c>
      <c r="B187" s="9">
        <v>12</v>
      </c>
      <c r="C187" s="9" t="s">
        <v>247</v>
      </c>
      <c r="D187" s="9" t="s">
        <v>251</v>
      </c>
      <c r="E187" s="9" t="s">
        <v>262</v>
      </c>
      <c r="F187" s="9" t="s">
        <v>264</v>
      </c>
      <c r="G187" s="9" t="s">
        <v>1113</v>
      </c>
      <c r="H187" s="10">
        <v>0.6</v>
      </c>
      <c r="I187" s="9">
        <v>66</v>
      </c>
      <c r="J187" s="9">
        <v>63</v>
      </c>
      <c r="K187" s="9">
        <v>32</v>
      </c>
      <c r="L187" s="9">
        <v>162.1</v>
      </c>
      <c r="M187" s="9" t="s">
        <v>265</v>
      </c>
      <c r="O187" s="9" t="s">
        <v>267</v>
      </c>
      <c r="Q187" s="9">
        <v>5</v>
      </c>
      <c r="R187" s="9" t="s">
        <v>268</v>
      </c>
      <c r="S187" s="9" t="s">
        <v>272</v>
      </c>
      <c r="T187" s="9" t="s">
        <v>270</v>
      </c>
      <c r="AG187" s="15">
        <v>76</v>
      </c>
      <c r="AH187" s="21">
        <v>5</v>
      </c>
      <c r="AI187" s="9" t="s">
        <v>1120</v>
      </c>
      <c r="AJ187" s="9" t="s">
        <v>1138</v>
      </c>
    </row>
    <row r="188" spans="1:36" ht="15" customHeight="1" x14ac:dyDescent="0.2">
      <c r="A188" s="9" t="s">
        <v>763</v>
      </c>
      <c r="B188" s="9">
        <v>12</v>
      </c>
      <c r="C188" s="9" t="s">
        <v>247</v>
      </c>
      <c r="D188" s="9" t="s">
        <v>251</v>
      </c>
      <c r="E188" s="9" t="s">
        <v>260</v>
      </c>
      <c r="F188" s="9" t="s">
        <v>264</v>
      </c>
      <c r="G188" s="9" t="s">
        <v>1110</v>
      </c>
      <c r="H188" s="10">
        <v>0.4</v>
      </c>
      <c r="I188" s="9">
        <v>83</v>
      </c>
      <c r="J188" s="9">
        <v>70</v>
      </c>
      <c r="K188" s="9">
        <v>30</v>
      </c>
      <c r="L188" s="9">
        <v>208</v>
      </c>
      <c r="M188" s="9" t="s">
        <v>274</v>
      </c>
      <c r="N188" s="9" t="s">
        <v>279</v>
      </c>
      <c r="O188" s="9" t="s">
        <v>700</v>
      </c>
      <c r="P188" s="9" t="s">
        <v>699</v>
      </c>
      <c r="Q188" s="9">
        <v>3</v>
      </c>
      <c r="R188" s="9" t="s">
        <v>701</v>
      </c>
      <c r="S188" s="9" t="s">
        <v>269</v>
      </c>
      <c r="T188" s="9" t="s">
        <v>278</v>
      </c>
      <c r="U188" s="9">
        <v>4</v>
      </c>
      <c r="V188" s="9" t="s">
        <v>268</v>
      </c>
      <c r="W188" s="9" t="s">
        <v>272</v>
      </c>
      <c r="X188" s="9" t="s">
        <v>270</v>
      </c>
      <c r="AG188" s="15">
        <v>72</v>
      </c>
      <c r="AH188" s="21">
        <v>7</v>
      </c>
      <c r="AI188" s="9" t="s">
        <v>1126</v>
      </c>
      <c r="AJ188" s="9" t="s">
        <v>1136</v>
      </c>
    </row>
  </sheetData>
  <autoFilter ref="A1:AJ188" xr:uid="{D7D42B6A-73A2-4D3C-A7ED-E483C4646793}">
    <sortState xmlns:xlrd2="http://schemas.microsoft.com/office/spreadsheetml/2017/richdata2" ref="A2:AJ188">
      <sortCondition ref="B2:B188"/>
    </sortState>
  </autoFilter>
  <dataConsolidate/>
  <phoneticPr fontId="2" type="noConversion"/>
  <conditionalFormatting sqref="R156:S156">
    <cfRule type="duplicateValues" dxfId="6" priority="3"/>
  </conditionalFormatting>
  <conditionalFormatting sqref="R157:S157">
    <cfRule type="duplicateValues" dxfId="5" priority="2"/>
  </conditionalFormatting>
  <conditionalFormatting sqref="AG1:AG1048576">
    <cfRule type="cellIs" dxfId="4" priority="1" operator="greaterThan">
      <formula>100</formula>
    </cfRule>
  </conditionalFormatting>
  <dataValidations count="8">
    <dataValidation allowBlank="1" showInputMessage="1" sqref="E1:F1 H1:AJ1" xr:uid="{2F813E63-6974-45FA-9391-49A60739E8AD}"/>
    <dataValidation type="list" allowBlank="1" showInputMessage="1" showErrorMessage="1" sqref="AD2:AD1048576 V2:V1048576 R2:R1048576 Z2:Z1048576" xr:uid="{2FEF673E-F78A-41D1-B728-5AD4ACBBAFCF}">
      <formula1>"Narrow,Wide"</formula1>
    </dataValidation>
    <dataValidation type="list" allowBlank="1" showInputMessage="1" showErrorMessage="1" sqref="AE2:AE1048576 W2:W1048576 S2:S1048576 AA2:AA1048576" xr:uid="{A4BE8AA8-3E0F-49EA-8FA4-5CC8676A9554}">
      <formula1>"Short,Long"</formula1>
    </dataValidation>
    <dataValidation type="list" allowBlank="1" showInputMessage="1" showErrorMessage="1" sqref="T2:T1048576 AF2:AF1048576 X2:X1048576 AB2:AB1048576" xr:uid="{CA3F745C-6873-49CE-99F4-29C741A278ED}">
      <formula1>"Unidirection,Opposite_bidirection,Orthogonal_bidirection,Orthogonal_multidirection,Centripetal_multidirection"</formula1>
    </dataValidation>
    <dataValidation type="list" allowBlank="1" showInputMessage="1" showErrorMessage="1" sqref="M2:M1048576" xr:uid="{0FACCC0F-2DD8-4E63-9639-286882D883A3}">
      <formula1>"Unifacial,Bifacial,Trifacial,Multifacial"</formula1>
    </dataValidation>
    <dataValidation type="list" allowBlank="1" showInputMessage="1" showErrorMessage="1" sqref="O2:O1048576" xr:uid="{54720FCE-DF76-4E14-8E14-B86C34FB9A11}">
      <formula1>"Single,Double,Triple,Multiple"</formula1>
    </dataValidation>
    <dataValidation type="list" allowBlank="1" showInputMessage="1" showErrorMessage="1" sqref="N2:N1048576" xr:uid="{D20E1C3E-409B-47A7-BF18-10743C7F65F5}">
      <formula1>"Opposite,Adjacent,Mixed,Polyhedral"</formula1>
    </dataValidation>
    <dataValidation type="list" allowBlank="1" showInputMessage="1" showErrorMessage="1" sqref="P2:P1048576" xr:uid="{4F0031BE-D08E-4533-930B-84D2C1D699D3}">
      <formula1>"Opposite,Adjacent,Mixed,Peripheral"</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02780-FCB2-4C1B-B389-893E4C83A9CD}">
  <dimension ref="A1:W222"/>
  <sheetViews>
    <sheetView zoomScale="85" zoomScaleNormal="85" workbookViewId="0">
      <pane ySplit="1" topLeftCell="A2" activePane="bottomLeft" state="frozen"/>
      <selection pane="bottomLeft" activeCell="B37" sqref="B37"/>
    </sheetView>
  </sheetViews>
  <sheetFormatPr defaultColWidth="8.625" defaultRowHeight="15" customHeight="1" x14ac:dyDescent="0.2"/>
  <cols>
    <col min="1" max="1" width="20" style="9" customWidth="1"/>
    <col min="2" max="2" width="6" style="9" customWidth="1"/>
    <col min="3" max="3" width="7.375" style="9" customWidth="1"/>
    <col min="4" max="4" width="11.625" style="9" customWidth="1"/>
    <col min="5" max="5" width="14.625" style="9" customWidth="1"/>
    <col min="6" max="6" width="15.75" style="9" customWidth="1"/>
    <col min="7" max="7" width="18.875" style="9" customWidth="1"/>
    <col min="8" max="8" width="16.875" style="9" customWidth="1"/>
    <col min="9" max="9" width="8.625" style="10"/>
    <col min="10" max="13" width="8.625" style="15"/>
    <col min="14" max="15" width="10.625" style="9" customWidth="1"/>
    <col min="16" max="16" width="12.125" style="9" customWidth="1"/>
    <col min="17" max="17" width="9.75" style="9" customWidth="1"/>
    <col min="18" max="18" width="9.625" style="15" customWidth="1"/>
    <col min="19" max="19" width="9.875" style="15" customWidth="1"/>
    <col min="20" max="20" width="7.5" style="15" customWidth="1"/>
    <col min="21" max="21" width="12.625" style="9" customWidth="1"/>
    <col min="22" max="22" width="20.125" style="9" customWidth="1"/>
    <col min="23" max="16384" width="8.625" style="9"/>
  </cols>
  <sheetData>
    <row r="1" spans="1:23" s="13" customFormat="1" ht="20.100000000000001" customHeight="1" x14ac:dyDescent="0.2">
      <c r="A1" s="1" t="s">
        <v>0</v>
      </c>
      <c r="B1" s="2" t="s">
        <v>1</v>
      </c>
      <c r="C1" s="2" t="s">
        <v>2</v>
      </c>
      <c r="D1" s="2" t="s">
        <v>3</v>
      </c>
      <c r="E1" s="2" t="s">
        <v>6</v>
      </c>
      <c r="F1" s="2" t="s">
        <v>7</v>
      </c>
      <c r="G1" s="2" t="s">
        <v>5</v>
      </c>
      <c r="H1" s="2" t="s">
        <v>1118</v>
      </c>
      <c r="I1" s="2" t="s">
        <v>8</v>
      </c>
      <c r="J1" s="14" t="s">
        <v>9</v>
      </c>
      <c r="K1" s="14" t="s">
        <v>10</v>
      </c>
      <c r="L1" s="14" t="s">
        <v>11</v>
      </c>
      <c r="M1" s="14" t="s">
        <v>12</v>
      </c>
      <c r="N1" s="3" t="s">
        <v>713</v>
      </c>
      <c r="O1" s="3" t="s">
        <v>714</v>
      </c>
      <c r="P1" s="2" t="s">
        <v>715</v>
      </c>
      <c r="Q1" s="2" t="s">
        <v>15</v>
      </c>
      <c r="R1" s="14" t="s">
        <v>17</v>
      </c>
      <c r="S1" s="14" t="s">
        <v>16</v>
      </c>
      <c r="T1" s="14" t="s">
        <v>716</v>
      </c>
      <c r="U1" s="2" t="s">
        <v>717</v>
      </c>
      <c r="V1" s="2" t="s">
        <v>718</v>
      </c>
      <c r="W1" s="12" t="s">
        <v>719</v>
      </c>
    </row>
    <row r="2" spans="1:23" ht="15" customHeight="1" x14ac:dyDescent="0.2">
      <c r="A2" s="9" t="s">
        <v>174</v>
      </c>
      <c r="B2" s="9">
        <v>3</v>
      </c>
      <c r="C2" s="9" t="s">
        <v>236</v>
      </c>
      <c r="D2" s="9" t="s">
        <v>251</v>
      </c>
      <c r="E2" s="9" t="s">
        <v>260</v>
      </c>
      <c r="F2" s="9" t="s">
        <v>720</v>
      </c>
      <c r="G2" s="9" t="s">
        <v>1144</v>
      </c>
      <c r="I2" s="10">
        <v>0.95</v>
      </c>
      <c r="J2" s="15">
        <v>65</v>
      </c>
      <c r="K2" s="15">
        <v>46</v>
      </c>
      <c r="L2" s="15">
        <v>13</v>
      </c>
      <c r="M2" s="15">
        <v>52.3</v>
      </c>
      <c r="N2" s="9">
        <f t="shared" ref="N2:N10" si="0">K2/J2</f>
        <v>0.70769230769230773</v>
      </c>
      <c r="O2" s="9">
        <f t="shared" ref="O2:O10" si="1">L2/K2</f>
        <v>0.28260869565217389</v>
      </c>
      <c r="P2" s="9" t="s">
        <v>722</v>
      </c>
      <c r="Q2" s="9" t="s">
        <v>723</v>
      </c>
      <c r="U2" s="9">
        <v>0</v>
      </c>
      <c r="V2" s="9" t="s">
        <v>721</v>
      </c>
    </row>
    <row r="3" spans="1:23" ht="15" customHeight="1" x14ac:dyDescent="0.2">
      <c r="A3" s="9" t="s">
        <v>842</v>
      </c>
      <c r="B3" s="9">
        <v>3</v>
      </c>
      <c r="C3" s="9" t="s">
        <v>236</v>
      </c>
      <c r="D3" s="9" t="s">
        <v>251</v>
      </c>
      <c r="E3" s="9" t="s">
        <v>260</v>
      </c>
      <c r="F3" s="9" t="s">
        <v>720</v>
      </c>
      <c r="G3" s="9" t="s">
        <v>1071</v>
      </c>
      <c r="I3" s="10">
        <v>1</v>
      </c>
      <c r="J3" s="15">
        <v>57</v>
      </c>
      <c r="K3" s="15">
        <v>48</v>
      </c>
      <c r="L3" s="15">
        <v>24</v>
      </c>
      <c r="M3" s="15">
        <v>69.400000000000006</v>
      </c>
      <c r="N3" s="9">
        <f t="shared" si="0"/>
        <v>0.84210526315789469</v>
      </c>
      <c r="O3" s="9">
        <f t="shared" si="1"/>
        <v>0.5</v>
      </c>
      <c r="P3" s="9" t="s">
        <v>1084</v>
      </c>
      <c r="Q3" s="9" t="s">
        <v>1067</v>
      </c>
      <c r="R3" s="15">
        <v>44</v>
      </c>
      <c r="S3" s="15">
        <v>18</v>
      </c>
      <c r="T3" s="15">
        <v>121</v>
      </c>
      <c r="U3" s="9">
        <v>0</v>
      </c>
      <c r="V3" s="9" t="s">
        <v>721</v>
      </c>
    </row>
    <row r="4" spans="1:23" ht="15" customHeight="1" x14ac:dyDescent="0.2">
      <c r="A4" s="9" t="s">
        <v>843</v>
      </c>
      <c r="B4" s="9">
        <v>3</v>
      </c>
      <c r="C4" s="9" t="s">
        <v>236</v>
      </c>
      <c r="D4" s="9" t="s">
        <v>253</v>
      </c>
      <c r="E4" s="9" t="s">
        <v>261</v>
      </c>
      <c r="F4" s="9" t="s">
        <v>720</v>
      </c>
      <c r="G4" s="9" t="s">
        <v>1071</v>
      </c>
      <c r="I4" s="10">
        <v>0.7</v>
      </c>
      <c r="J4" s="15">
        <v>71</v>
      </c>
      <c r="K4" s="15">
        <v>42</v>
      </c>
      <c r="L4" s="15">
        <v>24</v>
      </c>
      <c r="M4" s="15">
        <v>88.5</v>
      </c>
      <c r="N4" s="9">
        <f t="shared" si="0"/>
        <v>0.59154929577464788</v>
      </c>
      <c r="O4" s="9">
        <f t="shared" si="1"/>
        <v>0.5714285714285714</v>
      </c>
      <c r="P4" s="9" t="s">
        <v>722</v>
      </c>
      <c r="Q4" s="9" t="s">
        <v>966</v>
      </c>
      <c r="R4" s="15">
        <v>42</v>
      </c>
      <c r="S4" s="15">
        <v>22</v>
      </c>
      <c r="T4" s="15">
        <v>121</v>
      </c>
      <c r="U4" s="9">
        <v>1</v>
      </c>
      <c r="V4" s="9" t="s">
        <v>1103</v>
      </c>
    </row>
    <row r="5" spans="1:23" ht="15" customHeight="1" x14ac:dyDescent="0.2">
      <c r="A5" s="9" t="s">
        <v>844</v>
      </c>
      <c r="B5" s="9">
        <v>3</v>
      </c>
      <c r="C5" s="9" t="s">
        <v>236</v>
      </c>
      <c r="D5" s="9" t="s">
        <v>251</v>
      </c>
      <c r="E5" s="9" t="s">
        <v>260</v>
      </c>
      <c r="F5" s="9" t="s">
        <v>720</v>
      </c>
      <c r="G5" s="9" t="s">
        <v>1143</v>
      </c>
      <c r="I5" s="10">
        <v>0.05</v>
      </c>
      <c r="J5" s="15">
        <v>34</v>
      </c>
      <c r="K5" s="15">
        <v>30</v>
      </c>
      <c r="L5" s="15">
        <v>7</v>
      </c>
      <c r="M5" s="15">
        <v>8.4</v>
      </c>
      <c r="N5" s="9">
        <f t="shared" si="0"/>
        <v>0.88235294117647056</v>
      </c>
      <c r="O5" s="9">
        <f t="shared" si="1"/>
        <v>0.23333333333333334</v>
      </c>
      <c r="P5" s="9" t="s">
        <v>1077</v>
      </c>
      <c r="Q5" s="9" t="s">
        <v>966</v>
      </c>
      <c r="R5" s="15">
        <v>15</v>
      </c>
      <c r="S5" s="15">
        <v>5</v>
      </c>
      <c r="T5" s="15">
        <v>123</v>
      </c>
      <c r="U5" s="9">
        <v>1</v>
      </c>
      <c r="V5" s="9" t="s">
        <v>1101</v>
      </c>
    </row>
    <row r="6" spans="1:23" ht="15" customHeight="1" x14ac:dyDescent="0.2">
      <c r="A6" s="9" t="s">
        <v>845</v>
      </c>
      <c r="B6" s="9">
        <v>3</v>
      </c>
      <c r="C6" s="9" t="s">
        <v>236</v>
      </c>
      <c r="D6" s="9" t="s">
        <v>253</v>
      </c>
      <c r="E6" s="9" t="s">
        <v>261</v>
      </c>
      <c r="F6" s="9" t="s">
        <v>720</v>
      </c>
      <c r="G6" s="9" t="s">
        <v>1071</v>
      </c>
      <c r="I6" s="10">
        <v>1</v>
      </c>
      <c r="J6" s="15">
        <v>54</v>
      </c>
      <c r="K6" s="15">
        <v>48</v>
      </c>
      <c r="L6" s="15">
        <v>19</v>
      </c>
      <c r="M6" s="15">
        <v>56.5</v>
      </c>
      <c r="N6" s="9">
        <f t="shared" si="0"/>
        <v>0.88888888888888884</v>
      </c>
      <c r="O6" s="9">
        <f t="shared" si="1"/>
        <v>0.39583333333333331</v>
      </c>
      <c r="P6" s="9" t="s">
        <v>1084</v>
      </c>
      <c r="Q6" s="9" t="s">
        <v>966</v>
      </c>
      <c r="R6" s="15">
        <v>47</v>
      </c>
      <c r="S6" s="15">
        <v>18</v>
      </c>
      <c r="T6" s="15">
        <v>108</v>
      </c>
      <c r="U6" s="9">
        <v>0</v>
      </c>
      <c r="V6" s="9" t="s">
        <v>721</v>
      </c>
    </row>
    <row r="7" spans="1:23" ht="15" customHeight="1" x14ac:dyDescent="0.2">
      <c r="A7" s="9" t="s">
        <v>846</v>
      </c>
      <c r="B7" s="9">
        <v>3</v>
      </c>
      <c r="C7" s="9" t="s">
        <v>236</v>
      </c>
      <c r="D7" s="9" t="s">
        <v>253</v>
      </c>
      <c r="E7" s="9" t="s">
        <v>261</v>
      </c>
      <c r="F7" s="9" t="s">
        <v>720</v>
      </c>
      <c r="G7" s="9" t="s">
        <v>1142</v>
      </c>
      <c r="I7" s="10">
        <v>0.6</v>
      </c>
      <c r="J7" s="15">
        <v>70</v>
      </c>
      <c r="K7" s="15">
        <v>64</v>
      </c>
      <c r="L7" s="15">
        <v>25</v>
      </c>
      <c r="M7" s="15">
        <v>105.1</v>
      </c>
      <c r="N7" s="9">
        <f t="shared" si="0"/>
        <v>0.91428571428571426</v>
      </c>
      <c r="O7" s="9">
        <f t="shared" si="1"/>
        <v>0.390625</v>
      </c>
      <c r="P7" s="9" t="s">
        <v>1084</v>
      </c>
      <c r="Q7" s="9" t="s">
        <v>966</v>
      </c>
      <c r="R7" s="15">
        <v>28</v>
      </c>
      <c r="S7" s="15">
        <v>18</v>
      </c>
      <c r="T7" s="15">
        <v>98</v>
      </c>
      <c r="U7" s="9">
        <v>2</v>
      </c>
      <c r="V7" s="9" t="s">
        <v>1103</v>
      </c>
    </row>
    <row r="8" spans="1:23" ht="15" customHeight="1" x14ac:dyDescent="0.2">
      <c r="A8" s="9" t="s">
        <v>814</v>
      </c>
      <c r="B8" s="9">
        <v>3</v>
      </c>
      <c r="C8" s="9" t="s">
        <v>236</v>
      </c>
      <c r="D8" s="9" t="s">
        <v>254</v>
      </c>
      <c r="E8" s="9" t="s">
        <v>261</v>
      </c>
      <c r="F8" s="9" t="s">
        <v>720</v>
      </c>
      <c r="G8" s="9" t="s">
        <v>1071</v>
      </c>
      <c r="I8" s="10">
        <v>0.9</v>
      </c>
      <c r="J8" s="15">
        <v>63</v>
      </c>
      <c r="K8" s="15">
        <v>52</v>
      </c>
      <c r="L8" s="15">
        <v>24</v>
      </c>
      <c r="M8" s="15">
        <v>75.5</v>
      </c>
      <c r="N8" s="9">
        <f t="shared" si="0"/>
        <v>0.82539682539682535</v>
      </c>
      <c r="O8" s="9">
        <f t="shared" si="1"/>
        <v>0.46153846153846156</v>
      </c>
      <c r="P8" s="9" t="s">
        <v>722</v>
      </c>
      <c r="Q8" s="9" t="s">
        <v>966</v>
      </c>
      <c r="R8" s="15">
        <v>49</v>
      </c>
      <c r="S8" s="15">
        <v>24</v>
      </c>
      <c r="T8" s="15">
        <v>85</v>
      </c>
      <c r="U8" s="9">
        <v>1</v>
      </c>
      <c r="V8" s="9" t="s">
        <v>1103</v>
      </c>
    </row>
    <row r="9" spans="1:23" ht="15" customHeight="1" x14ac:dyDescent="0.2">
      <c r="A9" s="9" t="s">
        <v>847</v>
      </c>
      <c r="B9" s="9">
        <v>3</v>
      </c>
      <c r="C9" s="9" t="s">
        <v>236</v>
      </c>
      <c r="D9" s="9" t="s">
        <v>251</v>
      </c>
      <c r="E9" s="9" t="s">
        <v>262</v>
      </c>
      <c r="F9" s="9" t="s">
        <v>720</v>
      </c>
      <c r="G9" s="9" t="s">
        <v>1071</v>
      </c>
      <c r="I9" s="10">
        <v>1</v>
      </c>
      <c r="J9" s="15">
        <v>73</v>
      </c>
      <c r="K9" s="15">
        <v>60</v>
      </c>
      <c r="L9" s="15">
        <v>22</v>
      </c>
      <c r="M9" s="15">
        <v>102.1</v>
      </c>
      <c r="N9" s="9">
        <f t="shared" si="0"/>
        <v>0.82191780821917804</v>
      </c>
      <c r="O9" s="9">
        <f t="shared" si="1"/>
        <v>0.36666666666666664</v>
      </c>
      <c r="P9" s="9" t="s">
        <v>1081</v>
      </c>
      <c r="Q9" s="9" t="s">
        <v>966</v>
      </c>
      <c r="R9" s="15">
        <v>68</v>
      </c>
      <c r="S9" s="15">
        <v>20</v>
      </c>
      <c r="T9" s="15">
        <v>113</v>
      </c>
      <c r="U9" s="9">
        <v>0</v>
      </c>
      <c r="V9" s="9" t="s">
        <v>721</v>
      </c>
    </row>
    <row r="10" spans="1:23" ht="15" customHeight="1" x14ac:dyDescent="0.2">
      <c r="A10" s="9" t="s">
        <v>848</v>
      </c>
      <c r="B10" s="9">
        <v>3</v>
      </c>
      <c r="C10" s="9" t="s">
        <v>236</v>
      </c>
      <c r="D10" s="9" t="s">
        <v>251</v>
      </c>
      <c r="E10" s="9" t="s">
        <v>263</v>
      </c>
      <c r="F10" s="9" t="s">
        <v>720</v>
      </c>
      <c r="G10" s="9" t="s">
        <v>1143</v>
      </c>
      <c r="I10" s="10">
        <v>0</v>
      </c>
      <c r="J10" s="15">
        <v>78</v>
      </c>
      <c r="K10" s="15">
        <v>48</v>
      </c>
      <c r="L10" s="15">
        <v>32</v>
      </c>
      <c r="M10" s="15">
        <v>152</v>
      </c>
      <c r="N10" s="9">
        <f t="shared" si="0"/>
        <v>0.61538461538461542</v>
      </c>
      <c r="O10" s="9">
        <f t="shared" si="1"/>
        <v>0.66666666666666663</v>
      </c>
      <c r="P10" s="9" t="s">
        <v>1084</v>
      </c>
      <c r="Q10" s="9" t="s">
        <v>966</v>
      </c>
      <c r="R10" s="15">
        <v>45</v>
      </c>
      <c r="S10" s="15">
        <v>30</v>
      </c>
      <c r="T10" s="15">
        <v>117</v>
      </c>
      <c r="U10" s="9">
        <v>3</v>
      </c>
      <c r="V10" s="9" t="s">
        <v>1082</v>
      </c>
    </row>
    <row r="11" spans="1:23" ht="15" customHeight="1" x14ac:dyDescent="0.2">
      <c r="A11" s="9" t="s">
        <v>849</v>
      </c>
      <c r="B11" s="9">
        <v>3</v>
      </c>
      <c r="C11" s="9" t="s">
        <v>236</v>
      </c>
      <c r="D11" s="9" t="s">
        <v>257</v>
      </c>
      <c r="E11" s="9" t="s">
        <v>760</v>
      </c>
      <c r="F11" s="9" t="s">
        <v>1061</v>
      </c>
      <c r="H11" s="9" t="s">
        <v>1094</v>
      </c>
      <c r="I11" s="10">
        <v>0.9</v>
      </c>
      <c r="J11" s="15">
        <v>69</v>
      </c>
      <c r="K11" s="15">
        <v>51</v>
      </c>
      <c r="L11" s="15">
        <v>27</v>
      </c>
      <c r="M11" s="15">
        <v>84.8</v>
      </c>
      <c r="P11" s="9" t="s">
        <v>1077</v>
      </c>
    </row>
    <row r="12" spans="1:23" ht="15" customHeight="1" x14ac:dyDescent="0.2">
      <c r="A12" s="9" t="s">
        <v>850</v>
      </c>
      <c r="B12" s="9">
        <v>3</v>
      </c>
      <c r="C12" s="9" t="s">
        <v>236</v>
      </c>
      <c r="D12" s="9" t="s">
        <v>251</v>
      </c>
      <c r="E12" s="9" t="s">
        <v>260</v>
      </c>
      <c r="F12" s="9" t="s">
        <v>720</v>
      </c>
      <c r="G12" s="9" t="s">
        <v>1071</v>
      </c>
      <c r="I12" s="10">
        <v>1</v>
      </c>
      <c r="J12" s="15">
        <v>49</v>
      </c>
      <c r="K12" s="15">
        <v>34</v>
      </c>
      <c r="L12" s="15">
        <v>15</v>
      </c>
      <c r="M12" s="15">
        <v>24.1</v>
      </c>
      <c r="N12" s="9">
        <f t="shared" ref="N12:O19" si="2">K12/J12</f>
        <v>0.69387755102040816</v>
      </c>
      <c r="O12" s="9">
        <f t="shared" si="2"/>
        <v>0.44117647058823528</v>
      </c>
      <c r="P12" s="9" t="s">
        <v>1077</v>
      </c>
      <c r="Q12" s="9" t="s">
        <v>723</v>
      </c>
      <c r="U12" s="9">
        <v>0</v>
      </c>
      <c r="V12" s="9" t="s">
        <v>721</v>
      </c>
    </row>
    <row r="13" spans="1:23" ht="15" customHeight="1" x14ac:dyDescent="0.2">
      <c r="A13" s="9" t="s">
        <v>851</v>
      </c>
      <c r="B13" s="9">
        <v>3</v>
      </c>
      <c r="C13" s="9" t="s">
        <v>236</v>
      </c>
      <c r="D13" s="9" t="s">
        <v>253</v>
      </c>
      <c r="E13" s="9" t="s">
        <v>260</v>
      </c>
      <c r="F13" s="9" t="s">
        <v>720</v>
      </c>
      <c r="G13" s="9" t="s">
        <v>1071</v>
      </c>
      <c r="I13" s="10">
        <v>1</v>
      </c>
      <c r="J13" s="15">
        <v>51</v>
      </c>
      <c r="K13" s="15">
        <v>39</v>
      </c>
      <c r="L13" s="15">
        <v>7</v>
      </c>
      <c r="M13" s="15">
        <v>18.7</v>
      </c>
      <c r="N13" s="9">
        <f t="shared" si="2"/>
        <v>0.76470588235294112</v>
      </c>
      <c r="O13" s="9">
        <f t="shared" si="2"/>
        <v>0.17948717948717949</v>
      </c>
      <c r="P13" s="9" t="s">
        <v>1081</v>
      </c>
      <c r="Q13" s="9" t="s">
        <v>723</v>
      </c>
      <c r="U13" s="9">
        <v>0</v>
      </c>
      <c r="V13" s="9" t="s">
        <v>721</v>
      </c>
    </row>
    <row r="14" spans="1:23" ht="15" customHeight="1" x14ac:dyDescent="0.2">
      <c r="A14" s="9" t="s">
        <v>852</v>
      </c>
      <c r="B14" s="9">
        <v>3</v>
      </c>
      <c r="C14" s="9" t="s">
        <v>236</v>
      </c>
      <c r="D14" s="9" t="s">
        <v>251</v>
      </c>
      <c r="E14" s="9" t="s">
        <v>260</v>
      </c>
      <c r="F14" s="9" t="s">
        <v>720</v>
      </c>
      <c r="G14" s="9" t="s">
        <v>1071</v>
      </c>
      <c r="I14" s="10">
        <v>0.7</v>
      </c>
      <c r="J14" s="15">
        <v>104</v>
      </c>
      <c r="K14" s="15">
        <v>61</v>
      </c>
      <c r="L14" s="15">
        <v>42</v>
      </c>
      <c r="M14" s="15">
        <v>302.3</v>
      </c>
      <c r="N14" s="9">
        <f t="shared" si="2"/>
        <v>0.58653846153846156</v>
      </c>
      <c r="O14" s="9">
        <f t="shared" si="2"/>
        <v>0.68852459016393441</v>
      </c>
      <c r="P14" s="9" t="s">
        <v>722</v>
      </c>
      <c r="Q14" s="9" t="s">
        <v>1067</v>
      </c>
      <c r="R14" s="15">
        <v>52</v>
      </c>
      <c r="S14" s="15">
        <v>24</v>
      </c>
      <c r="T14" s="15">
        <v>128</v>
      </c>
      <c r="U14" s="9">
        <v>3</v>
      </c>
      <c r="V14" s="9" t="s">
        <v>1070</v>
      </c>
    </row>
    <row r="15" spans="1:23" ht="15" customHeight="1" x14ac:dyDescent="0.2">
      <c r="A15" s="9" t="s">
        <v>853</v>
      </c>
      <c r="B15" s="9">
        <v>3</v>
      </c>
      <c r="C15" s="9" t="s">
        <v>236</v>
      </c>
      <c r="D15" s="9" t="s">
        <v>251</v>
      </c>
      <c r="E15" s="9" t="s">
        <v>263</v>
      </c>
      <c r="F15" s="9" t="s">
        <v>720</v>
      </c>
      <c r="G15" s="9" t="s">
        <v>1142</v>
      </c>
      <c r="I15" s="10">
        <v>0.6</v>
      </c>
      <c r="J15" s="15">
        <v>52</v>
      </c>
      <c r="K15" s="15">
        <v>40</v>
      </c>
      <c r="L15" s="15">
        <v>21</v>
      </c>
      <c r="M15" s="15">
        <v>41.9</v>
      </c>
      <c r="N15" s="9">
        <f t="shared" si="2"/>
        <v>0.76923076923076927</v>
      </c>
      <c r="O15" s="9">
        <f t="shared" si="2"/>
        <v>0.52500000000000002</v>
      </c>
      <c r="P15" s="9" t="s">
        <v>1084</v>
      </c>
      <c r="Q15" s="9" t="s">
        <v>966</v>
      </c>
      <c r="R15" s="15">
        <v>31</v>
      </c>
      <c r="S15" s="15">
        <v>20</v>
      </c>
      <c r="T15" s="15">
        <v>108</v>
      </c>
      <c r="U15" s="9">
        <v>1</v>
      </c>
      <c r="V15" s="9" t="s">
        <v>1070</v>
      </c>
    </row>
    <row r="16" spans="1:23" ht="15" customHeight="1" x14ac:dyDescent="0.2">
      <c r="A16" s="9" t="s">
        <v>861</v>
      </c>
      <c r="B16" s="9">
        <v>3</v>
      </c>
      <c r="C16" s="9" t="s">
        <v>236</v>
      </c>
      <c r="D16" s="9" t="s">
        <v>251</v>
      </c>
      <c r="E16" s="9" t="s">
        <v>263</v>
      </c>
      <c r="F16" s="9" t="s">
        <v>720</v>
      </c>
      <c r="G16" s="9" t="s">
        <v>1071</v>
      </c>
      <c r="I16" s="10">
        <v>1</v>
      </c>
      <c r="J16" s="15">
        <v>63</v>
      </c>
      <c r="K16" s="15">
        <v>61</v>
      </c>
      <c r="L16" s="15">
        <v>22</v>
      </c>
      <c r="M16" s="15">
        <v>112.7</v>
      </c>
      <c r="N16" s="9">
        <f t="shared" si="2"/>
        <v>0.96825396825396826</v>
      </c>
      <c r="O16" s="9">
        <f t="shared" si="2"/>
        <v>0.36065573770491804</v>
      </c>
      <c r="P16" s="9" t="s">
        <v>1084</v>
      </c>
      <c r="Q16" s="9" t="s">
        <v>966</v>
      </c>
      <c r="R16" s="15">
        <v>39</v>
      </c>
      <c r="S16" s="15">
        <v>15</v>
      </c>
      <c r="T16" s="15">
        <v>96</v>
      </c>
      <c r="U16" s="9">
        <v>0</v>
      </c>
      <c r="V16" s="9" t="s">
        <v>721</v>
      </c>
    </row>
    <row r="17" spans="1:22" ht="15" customHeight="1" x14ac:dyDescent="0.2">
      <c r="A17" s="9" t="s">
        <v>863</v>
      </c>
      <c r="B17" s="9">
        <v>3</v>
      </c>
      <c r="C17" s="9" t="s">
        <v>236</v>
      </c>
      <c r="D17" s="9" t="s">
        <v>251</v>
      </c>
      <c r="E17" s="9" t="s">
        <v>262</v>
      </c>
      <c r="F17" s="9" t="s">
        <v>720</v>
      </c>
      <c r="G17" s="9" t="s">
        <v>724</v>
      </c>
      <c r="I17" s="10">
        <v>0.4</v>
      </c>
      <c r="J17" s="15">
        <v>49</v>
      </c>
      <c r="K17" s="15">
        <v>46</v>
      </c>
      <c r="L17" s="15">
        <v>19</v>
      </c>
      <c r="M17" s="15">
        <v>34.299999999999997</v>
      </c>
      <c r="N17" s="9">
        <f t="shared" si="2"/>
        <v>0.93877551020408168</v>
      </c>
      <c r="O17" s="9">
        <f t="shared" si="2"/>
        <v>0.41304347826086957</v>
      </c>
      <c r="P17" s="9" t="s">
        <v>1086</v>
      </c>
      <c r="Q17" s="9" t="s">
        <v>1067</v>
      </c>
      <c r="R17" s="15">
        <v>25</v>
      </c>
      <c r="S17" s="15">
        <v>6</v>
      </c>
      <c r="T17" s="15">
        <v>124</v>
      </c>
      <c r="U17" s="9">
        <v>3</v>
      </c>
      <c r="V17" s="9" t="s">
        <v>1093</v>
      </c>
    </row>
    <row r="18" spans="1:22" ht="15" customHeight="1" x14ac:dyDescent="0.2">
      <c r="A18" s="9" t="s">
        <v>874</v>
      </c>
      <c r="B18" s="9">
        <v>3</v>
      </c>
      <c r="C18" s="9" t="s">
        <v>236</v>
      </c>
      <c r="D18" s="9" t="s">
        <v>251</v>
      </c>
      <c r="E18" s="9" t="s">
        <v>261</v>
      </c>
      <c r="F18" s="9" t="s">
        <v>720</v>
      </c>
      <c r="G18" s="9" t="s">
        <v>1071</v>
      </c>
      <c r="I18" s="10">
        <v>0.9</v>
      </c>
      <c r="J18" s="15">
        <v>40</v>
      </c>
      <c r="K18" s="15">
        <v>27</v>
      </c>
      <c r="L18" s="15">
        <v>10</v>
      </c>
      <c r="M18" s="15">
        <v>12.2</v>
      </c>
      <c r="N18" s="9">
        <f t="shared" si="2"/>
        <v>0.67500000000000004</v>
      </c>
      <c r="O18" s="9">
        <f t="shared" si="2"/>
        <v>0.37037037037037035</v>
      </c>
      <c r="P18" s="9" t="s">
        <v>722</v>
      </c>
      <c r="Q18" s="9" t="s">
        <v>966</v>
      </c>
      <c r="R18" s="15">
        <v>28</v>
      </c>
      <c r="S18" s="15">
        <v>6</v>
      </c>
      <c r="T18" s="15">
        <v>124</v>
      </c>
      <c r="U18" s="9">
        <v>1</v>
      </c>
      <c r="V18" s="9" t="s">
        <v>1070</v>
      </c>
    </row>
    <row r="19" spans="1:22" ht="15" customHeight="1" x14ac:dyDescent="0.2">
      <c r="A19" s="9" t="s">
        <v>875</v>
      </c>
      <c r="B19" s="9">
        <v>3</v>
      </c>
      <c r="C19" s="9" t="s">
        <v>236</v>
      </c>
      <c r="D19" s="9" t="s">
        <v>253</v>
      </c>
      <c r="E19" s="9" t="s">
        <v>262</v>
      </c>
      <c r="F19" s="9" t="s">
        <v>720</v>
      </c>
      <c r="G19" s="9" t="s">
        <v>1071</v>
      </c>
      <c r="I19" s="10">
        <v>0.9</v>
      </c>
      <c r="J19" s="15">
        <v>50</v>
      </c>
      <c r="K19" s="15">
        <v>47</v>
      </c>
      <c r="L19" s="15">
        <v>22</v>
      </c>
      <c r="M19" s="15">
        <v>47.4</v>
      </c>
      <c r="N19" s="9">
        <f t="shared" si="2"/>
        <v>0.94</v>
      </c>
      <c r="O19" s="9">
        <f t="shared" si="2"/>
        <v>0.46808510638297873</v>
      </c>
      <c r="P19" s="9" t="s">
        <v>1084</v>
      </c>
      <c r="Q19" s="9" t="s">
        <v>1067</v>
      </c>
      <c r="R19" s="15">
        <v>43</v>
      </c>
      <c r="S19" s="15">
        <v>12</v>
      </c>
      <c r="T19" s="15">
        <v>124</v>
      </c>
      <c r="U19" s="9">
        <v>1</v>
      </c>
      <c r="V19" s="9" t="s">
        <v>1070</v>
      </c>
    </row>
    <row r="20" spans="1:22" ht="15" customHeight="1" x14ac:dyDescent="0.2">
      <c r="A20" s="9" t="s">
        <v>880</v>
      </c>
      <c r="B20" s="9">
        <v>3</v>
      </c>
      <c r="C20" s="9" t="s">
        <v>236</v>
      </c>
      <c r="D20" s="9" t="s">
        <v>251</v>
      </c>
      <c r="E20" s="9" t="s">
        <v>260</v>
      </c>
      <c r="F20" s="9" t="s">
        <v>1061</v>
      </c>
      <c r="H20" s="9" t="s">
        <v>1089</v>
      </c>
      <c r="I20" s="10">
        <v>0.9</v>
      </c>
      <c r="J20" s="15">
        <v>43</v>
      </c>
      <c r="K20" s="15">
        <v>43</v>
      </c>
      <c r="L20" s="15">
        <v>14</v>
      </c>
      <c r="M20" s="15">
        <v>30</v>
      </c>
      <c r="Q20" s="9" t="s">
        <v>1067</v>
      </c>
      <c r="R20" s="15">
        <v>29</v>
      </c>
      <c r="S20" s="15">
        <v>14</v>
      </c>
      <c r="T20" s="15">
        <v>96</v>
      </c>
    </row>
    <row r="21" spans="1:22" ht="15" customHeight="1" x14ac:dyDescent="0.2">
      <c r="A21" s="9" t="s">
        <v>881</v>
      </c>
      <c r="B21" s="9">
        <v>3</v>
      </c>
      <c r="C21" s="9" t="s">
        <v>236</v>
      </c>
      <c r="D21" s="9" t="s">
        <v>251</v>
      </c>
      <c r="E21" s="9" t="s">
        <v>261</v>
      </c>
      <c r="F21" s="9" t="s">
        <v>720</v>
      </c>
      <c r="G21" s="9" t="s">
        <v>1071</v>
      </c>
      <c r="I21" s="10">
        <v>1</v>
      </c>
      <c r="J21" s="15">
        <v>78</v>
      </c>
      <c r="K21" s="15">
        <v>57</v>
      </c>
      <c r="L21" s="15">
        <v>28</v>
      </c>
      <c r="M21" s="15">
        <v>147.30000000000001</v>
      </c>
      <c r="N21" s="9">
        <f t="shared" ref="N21:O27" si="3">K21/J21</f>
        <v>0.73076923076923073</v>
      </c>
      <c r="O21" s="9">
        <f t="shared" si="3"/>
        <v>0.49122807017543857</v>
      </c>
      <c r="P21" s="9" t="s">
        <v>722</v>
      </c>
      <c r="Q21" s="9" t="s">
        <v>966</v>
      </c>
      <c r="R21" s="15">
        <v>37</v>
      </c>
      <c r="S21" s="15">
        <v>14</v>
      </c>
      <c r="T21" s="15">
        <v>98</v>
      </c>
      <c r="U21" s="9">
        <v>0</v>
      </c>
      <c r="V21" s="9" t="s">
        <v>721</v>
      </c>
    </row>
    <row r="22" spans="1:22" ht="15" customHeight="1" x14ac:dyDescent="0.2">
      <c r="A22" s="9" t="s">
        <v>906</v>
      </c>
      <c r="B22" s="9">
        <v>3</v>
      </c>
      <c r="C22" s="9" t="s">
        <v>236</v>
      </c>
      <c r="D22" s="9" t="s">
        <v>251</v>
      </c>
      <c r="E22" s="9" t="s">
        <v>263</v>
      </c>
      <c r="F22" s="9" t="s">
        <v>720</v>
      </c>
      <c r="G22" s="9" t="s">
        <v>1071</v>
      </c>
      <c r="I22" s="10">
        <v>0.9</v>
      </c>
      <c r="J22" s="15">
        <v>61</v>
      </c>
      <c r="K22" s="15">
        <v>53</v>
      </c>
      <c r="L22" s="15">
        <v>15</v>
      </c>
      <c r="M22" s="15">
        <v>55</v>
      </c>
      <c r="N22" s="9">
        <f t="shared" si="3"/>
        <v>0.86885245901639341</v>
      </c>
      <c r="O22" s="9">
        <f t="shared" si="3"/>
        <v>0.28301886792452829</v>
      </c>
      <c r="P22" s="9" t="s">
        <v>722</v>
      </c>
      <c r="Q22" s="9" t="s">
        <v>966</v>
      </c>
      <c r="R22" s="15">
        <v>43</v>
      </c>
      <c r="S22" s="15">
        <v>10</v>
      </c>
      <c r="T22" s="15">
        <v>128</v>
      </c>
      <c r="U22" s="9">
        <v>1</v>
      </c>
      <c r="V22" s="9" t="s">
        <v>1103</v>
      </c>
    </row>
    <row r="23" spans="1:22" ht="15" customHeight="1" x14ac:dyDescent="0.2">
      <c r="A23" s="9" t="s">
        <v>916</v>
      </c>
      <c r="B23" s="9">
        <v>3</v>
      </c>
      <c r="C23" s="9" t="s">
        <v>236</v>
      </c>
      <c r="D23" s="9" t="s">
        <v>254</v>
      </c>
      <c r="E23" s="9" t="s">
        <v>261</v>
      </c>
      <c r="F23" s="9" t="s">
        <v>720</v>
      </c>
      <c r="G23" s="9" t="s">
        <v>1142</v>
      </c>
      <c r="I23" s="10">
        <v>0.35</v>
      </c>
      <c r="J23" s="15">
        <v>70</v>
      </c>
      <c r="K23" s="15">
        <v>58</v>
      </c>
      <c r="L23" s="15">
        <v>22</v>
      </c>
      <c r="M23" s="15">
        <v>76.8</v>
      </c>
      <c r="N23" s="9">
        <f t="shared" si="3"/>
        <v>0.82857142857142863</v>
      </c>
      <c r="O23" s="9">
        <f t="shared" si="3"/>
        <v>0.37931034482758619</v>
      </c>
      <c r="P23" s="9" t="s">
        <v>1077</v>
      </c>
      <c r="Q23" s="9" t="s">
        <v>966</v>
      </c>
      <c r="R23" s="15">
        <v>14</v>
      </c>
      <c r="S23" s="15">
        <v>8</v>
      </c>
      <c r="T23" s="15">
        <v>125</v>
      </c>
      <c r="U23" s="9">
        <v>2</v>
      </c>
      <c r="V23" s="9" t="s">
        <v>1070</v>
      </c>
    </row>
    <row r="24" spans="1:22" ht="15" customHeight="1" x14ac:dyDescent="0.2">
      <c r="A24" s="9" t="s">
        <v>948</v>
      </c>
      <c r="B24" s="9">
        <v>3</v>
      </c>
      <c r="C24" s="9" t="s">
        <v>236</v>
      </c>
      <c r="D24" s="9" t="s">
        <v>251</v>
      </c>
      <c r="E24" s="9" t="s">
        <v>261</v>
      </c>
      <c r="F24" s="9" t="s">
        <v>720</v>
      </c>
      <c r="G24" s="9" t="s">
        <v>1142</v>
      </c>
      <c r="I24" s="10">
        <v>0.3</v>
      </c>
      <c r="J24" s="15">
        <v>56</v>
      </c>
      <c r="K24" s="15">
        <v>54</v>
      </c>
      <c r="L24" s="15">
        <v>29</v>
      </c>
      <c r="M24" s="15">
        <v>89.2</v>
      </c>
      <c r="N24" s="9">
        <f t="shared" si="3"/>
        <v>0.9642857142857143</v>
      </c>
      <c r="O24" s="9">
        <f t="shared" si="3"/>
        <v>0.53703703703703709</v>
      </c>
      <c r="P24" s="9" t="s">
        <v>1084</v>
      </c>
      <c r="Q24" s="9" t="s">
        <v>966</v>
      </c>
      <c r="R24" s="15">
        <v>54</v>
      </c>
      <c r="S24" s="15">
        <v>20</v>
      </c>
      <c r="T24" s="15">
        <v>111</v>
      </c>
      <c r="U24" s="9">
        <v>4</v>
      </c>
      <c r="V24" s="9" t="s">
        <v>1103</v>
      </c>
    </row>
    <row r="25" spans="1:22" ht="15" customHeight="1" x14ac:dyDescent="0.2">
      <c r="A25" s="9" t="s">
        <v>949</v>
      </c>
      <c r="B25" s="9">
        <v>3</v>
      </c>
      <c r="C25" s="9" t="s">
        <v>236</v>
      </c>
      <c r="D25" s="9" t="s">
        <v>251</v>
      </c>
      <c r="E25" s="9" t="s">
        <v>260</v>
      </c>
      <c r="F25" s="9" t="s">
        <v>720</v>
      </c>
      <c r="G25" s="9" t="s">
        <v>1143</v>
      </c>
      <c r="I25" s="10">
        <v>0.3</v>
      </c>
      <c r="J25" s="15">
        <v>71.7</v>
      </c>
      <c r="K25" s="15">
        <v>48.17</v>
      </c>
      <c r="L25" s="15">
        <v>21</v>
      </c>
      <c r="M25" s="15">
        <v>61.3</v>
      </c>
      <c r="N25" s="9">
        <f t="shared" si="3"/>
        <v>0.67182705718270574</v>
      </c>
      <c r="O25" s="9">
        <f t="shared" si="3"/>
        <v>0.43595598920489931</v>
      </c>
      <c r="P25" s="9" t="s">
        <v>722</v>
      </c>
      <c r="Q25" s="9" t="s">
        <v>966</v>
      </c>
      <c r="R25" s="15">
        <v>27</v>
      </c>
      <c r="S25" s="15">
        <v>11</v>
      </c>
      <c r="T25" s="15">
        <v>120</v>
      </c>
      <c r="U25" s="9">
        <v>3</v>
      </c>
      <c r="V25" s="9" t="s">
        <v>1082</v>
      </c>
    </row>
    <row r="26" spans="1:22" ht="15" customHeight="1" x14ac:dyDescent="0.2">
      <c r="A26" s="9" t="s">
        <v>950</v>
      </c>
      <c r="B26" s="9">
        <v>3</v>
      </c>
      <c r="C26" s="9" t="s">
        <v>236</v>
      </c>
      <c r="D26" s="9" t="s">
        <v>251</v>
      </c>
      <c r="E26" s="9" t="s">
        <v>262</v>
      </c>
      <c r="F26" s="9" t="s">
        <v>720</v>
      </c>
      <c r="G26" s="9" t="s">
        <v>1071</v>
      </c>
      <c r="I26" s="10">
        <v>0.8</v>
      </c>
      <c r="J26" s="15">
        <v>54</v>
      </c>
      <c r="K26" s="15">
        <v>32</v>
      </c>
      <c r="L26" s="15">
        <v>10</v>
      </c>
      <c r="M26" s="15">
        <v>22.3</v>
      </c>
      <c r="N26" s="9">
        <f t="shared" si="3"/>
        <v>0.59259259259259256</v>
      </c>
      <c r="O26" s="9">
        <f t="shared" si="3"/>
        <v>0.3125</v>
      </c>
      <c r="P26" s="9" t="s">
        <v>1077</v>
      </c>
      <c r="Q26" s="9" t="s">
        <v>966</v>
      </c>
      <c r="R26" s="15">
        <v>27</v>
      </c>
      <c r="S26" s="15">
        <v>4</v>
      </c>
      <c r="T26" s="15">
        <v>118</v>
      </c>
      <c r="U26" s="9">
        <v>1</v>
      </c>
      <c r="V26" s="9" t="s">
        <v>1103</v>
      </c>
    </row>
    <row r="27" spans="1:22" ht="15" customHeight="1" x14ac:dyDescent="0.2">
      <c r="A27" s="9" t="s">
        <v>951</v>
      </c>
      <c r="B27" s="9">
        <v>3</v>
      </c>
      <c r="C27" s="9" t="s">
        <v>236</v>
      </c>
      <c r="D27" s="9" t="s">
        <v>251</v>
      </c>
      <c r="E27" s="9" t="s">
        <v>261</v>
      </c>
      <c r="F27" s="9" t="s">
        <v>720</v>
      </c>
      <c r="G27" s="9" t="s">
        <v>1071</v>
      </c>
      <c r="I27" s="10">
        <v>1</v>
      </c>
      <c r="J27" s="15">
        <v>38</v>
      </c>
      <c r="K27" s="15">
        <v>37</v>
      </c>
      <c r="L27" s="15">
        <v>9</v>
      </c>
      <c r="M27" s="15">
        <v>16.2</v>
      </c>
      <c r="N27" s="9">
        <f t="shared" si="3"/>
        <v>0.97368421052631582</v>
      </c>
      <c r="O27" s="9">
        <f t="shared" si="3"/>
        <v>0.24324324324324326</v>
      </c>
      <c r="P27" s="9" t="s">
        <v>1077</v>
      </c>
      <c r="Q27" s="9" t="s">
        <v>1067</v>
      </c>
      <c r="R27" s="15">
        <v>16</v>
      </c>
      <c r="S27" s="15">
        <v>5</v>
      </c>
      <c r="T27" s="15">
        <v>91</v>
      </c>
      <c r="U27" s="9">
        <v>0</v>
      </c>
      <c r="V27" s="9" t="s">
        <v>721</v>
      </c>
    </row>
    <row r="28" spans="1:22" ht="15" customHeight="1" x14ac:dyDescent="0.2">
      <c r="A28" s="9" t="s">
        <v>952</v>
      </c>
      <c r="B28" s="9">
        <v>3</v>
      </c>
      <c r="C28" s="9" t="s">
        <v>236</v>
      </c>
      <c r="D28" s="9" t="s">
        <v>251</v>
      </c>
      <c r="E28" s="9" t="s">
        <v>260</v>
      </c>
      <c r="F28" s="9" t="s">
        <v>1061</v>
      </c>
      <c r="H28" s="9" t="s">
        <v>1089</v>
      </c>
      <c r="I28" s="10">
        <v>0.9</v>
      </c>
      <c r="J28" s="15">
        <v>55.72</v>
      </c>
      <c r="K28" s="15">
        <v>33.54</v>
      </c>
      <c r="L28" s="15">
        <v>18</v>
      </c>
      <c r="M28" s="15">
        <v>36.5</v>
      </c>
      <c r="Q28" s="9" t="s">
        <v>1067</v>
      </c>
      <c r="R28" s="15">
        <v>38</v>
      </c>
      <c r="S28" s="15">
        <v>19</v>
      </c>
      <c r="T28" s="15">
        <v>120</v>
      </c>
    </row>
    <row r="29" spans="1:22" ht="15" customHeight="1" x14ac:dyDescent="0.2">
      <c r="A29" s="9" t="s">
        <v>953</v>
      </c>
      <c r="B29" s="9">
        <v>3</v>
      </c>
      <c r="C29" s="9" t="s">
        <v>236</v>
      </c>
      <c r="D29" s="9" t="s">
        <v>251</v>
      </c>
      <c r="E29" s="9" t="s">
        <v>262</v>
      </c>
      <c r="F29" s="9" t="s">
        <v>720</v>
      </c>
      <c r="G29" s="9" t="s">
        <v>1144</v>
      </c>
      <c r="I29" s="10">
        <v>0.9</v>
      </c>
      <c r="J29" s="15">
        <v>72</v>
      </c>
      <c r="K29" s="15">
        <v>63</v>
      </c>
      <c r="L29" s="15">
        <v>18</v>
      </c>
      <c r="M29" s="15">
        <v>100.9</v>
      </c>
      <c r="N29" s="9">
        <f t="shared" ref="N29:O31" si="4">K29/J29</f>
        <v>0.875</v>
      </c>
      <c r="O29" s="9">
        <f t="shared" si="4"/>
        <v>0.2857142857142857</v>
      </c>
      <c r="P29" s="9" t="s">
        <v>722</v>
      </c>
      <c r="Q29" s="9" t="s">
        <v>723</v>
      </c>
      <c r="U29" s="9">
        <v>1</v>
      </c>
      <c r="V29" s="9" t="s">
        <v>1103</v>
      </c>
    </row>
    <row r="30" spans="1:22" ht="15" customHeight="1" x14ac:dyDescent="0.2">
      <c r="A30" s="9" t="s">
        <v>954</v>
      </c>
      <c r="B30" s="9">
        <v>3</v>
      </c>
      <c r="C30" s="9" t="s">
        <v>236</v>
      </c>
      <c r="D30" s="9" t="s">
        <v>251</v>
      </c>
      <c r="E30" s="9" t="s">
        <v>260</v>
      </c>
      <c r="F30" s="9" t="s">
        <v>720</v>
      </c>
      <c r="G30" s="9" t="s">
        <v>1071</v>
      </c>
      <c r="I30" s="10">
        <v>0.9</v>
      </c>
      <c r="J30" s="15">
        <v>61</v>
      </c>
      <c r="K30" s="15">
        <v>59</v>
      </c>
      <c r="L30" s="15">
        <v>20</v>
      </c>
      <c r="M30" s="15">
        <v>74.7</v>
      </c>
      <c r="N30" s="9">
        <f t="shared" si="4"/>
        <v>0.96721311475409832</v>
      </c>
      <c r="O30" s="9">
        <f t="shared" si="4"/>
        <v>0.33898305084745761</v>
      </c>
      <c r="P30" s="9" t="s">
        <v>1084</v>
      </c>
      <c r="Q30" s="9" t="s">
        <v>1067</v>
      </c>
      <c r="U30" s="9">
        <v>2</v>
      </c>
      <c r="V30" s="9" t="s">
        <v>1103</v>
      </c>
    </row>
    <row r="31" spans="1:22" ht="15" customHeight="1" x14ac:dyDescent="0.2">
      <c r="A31" s="9" t="s">
        <v>955</v>
      </c>
      <c r="B31" s="9">
        <v>3</v>
      </c>
      <c r="C31" s="9" t="s">
        <v>236</v>
      </c>
      <c r="D31" s="9" t="s">
        <v>251</v>
      </c>
      <c r="E31" s="9" t="s">
        <v>260</v>
      </c>
      <c r="F31" s="9" t="s">
        <v>720</v>
      </c>
      <c r="G31" s="9" t="s">
        <v>1143</v>
      </c>
      <c r="I31" s="10">
        <v>0.1</v>
      </c>
      <c r="J31" s="15">
        <v>69</v>
      </c>
      <c r="K31" s="15">
        <v>58</v>
      </c>
      <c r="L31" s="15">
        <v>28</v>
      </c>
      <c r="M31" s="15">
        <v>82.5</v>
      </c>
      <c r="N31" s="9">
        <f t="shared" si="4"/>
        <v>0.84057971014492749</v>
      </c>
      <c r="O31" s="9">
        <f t="shared" si="4"/>
        <v>0.48275862068965519</v>
      </c>
      <c r="P31" s="9" t="s">
        <v>722</v>
      </c>
      <c r="Q31" s="9" t="s">
        <v>966</v>
      </c>
      <c r="R31" s="15">
        <v>42</v>
      </c>
      <c r="S31" s="15">
        <v>28</v>
      </c>
      <c r="T31" s="15">
        <v>109</v>
      </c>
      <c r="U31" s="9">
        <v>2</v>
      </c>
      <c r="V31" s="9" t="s">
        <v>1079</v>
      </c>
    </row>
    <row r="32" spans="1:22" ht="15" customHeight="1" x14ac:dyDescent="0.2">
      <c r="A32" s="9" t="s">
        <v>967</v>
      </c>
      <c r="B32" s="9">
        <v>3</v>
      </c>
      <c r="C32" s="9" t="s">
        <v>236</v>
      </c>
      <c r="D32" s="9" t="s">
        <v>251</v>
      </c>
      <c r="E32" s="9" t="s">
        <v>261</v>
      </c>
      <c r="F32" s="9" t="s">
        <v>1061</v>
      </c>
      <c r="H32" s="9" t="s">
        <v>1064</v>
      </c>
      <c r="I32" s="10">
        <v>0.95</v>
      </c>
      <c r="J32" s="15">
        <v>73</v>
      </c>
      <c r="K32" s="15">
        <v>64</v>
      </c>
      <c r="L32" s="15">
        <v>20</v>
      </c>
      <c r="M32" s="15">
        <v>96.9</v>
      </c>
    </row>
    <row r="33" spans="1:22" ht="15" customHeight="1" x14ac:dyDescent="0.2">
      <c r="A33" s="9" t="s">
        <v>968</v>
      </c>
      <c r="B33" s="9">
        <v>3</v>
      </c>
      <c r="C33" s="9" t="s">
        <v>236</v>
      </c>
      <c r="D33" s="9" t="s">
        <v>257</v>
      </c>
      <c r="E33" s="9" t="s">
        <v>708</v>
      </c>
      <c r="F33" s="9" t="s">
        <v>1061</v>
      </c>
      <c r="H33" s="9" t="s">
        <v>1088</v>
      </c>
      <c r="I33" s="10">
        <v>0.65</v>
      </c>
      <c r="J33" s="15">
        <v>59</v>
      </c>
      <c r="K33" s="15">
        <v>50</v>
      </c>
      <c r="L33" s="15">
        <v>30</v>
      </c>
      <c r="M33" s="15">
        <v>88</v>
      </c>
    </row>
    <row r="34" spans="1:22" ht="15" customHeight="1" x14ac:dyDescent="0.2">
      <c r="A34" s="9" t="s">
        <v>969</v>
      </c>
      <c r="B34" s="9">
        <v>3</v>
      </c>
      <c r="C34" s="9" t="s">
        <v>236</v>
      </c>
      <c r="D34" s="9" t="s">
        <v>251</v>
      </c>
      <c r="E34" s="9" t="s">
        <v>760</v>
      </c>
      <c r="F34" s="9" t="s">
        <v>720</v>
      </c>
      <c r="G34" s="9" t="s">
        <v>1143</v>
      </c>
      <c r="I34" s="10">
        <v>0.4</v>
      </c>
      <c r="J34" s="15">
        <v>63</v>
      </c>
      <c r="K34" s="15">
        <v>44</v>
      </c>
      <c r="L34" s="15">
        <v>23</v>
      </c>
      <c r="M34" s="15">
        <v>65.400000000000006</v>
      </c>
      <c r="N34" s="9">
        <f t="shared" ref="N34:O36" si="5">K34/J34</f>
        <v>0.69841269841269837</v>
      </c>
      <c r="O34" s="9">
        <f t="shared" si="5"/>
        <v>0.52272727272727271</v>
      </c>
      <c r="P34" s="9" t="s">
        <v>722</v>
      </c>
      <c r="Q34" s="9" t="s">
        <v>1068</v>
      </c>
      <c r="R34" s="15">
        <v>41.32</v>
      </c>
      <c r="S34" s="15">
        <v>9.6300000000000008</v>
      </c>
      <c r="T34" s="15">
        <v>134</v>
      </c>
      <c r="U34" s="9">
        <v>4</v>
      </c>
      <c r="V34" s="9" t="s">
        <v>1082</v>
      </c>
    </row>
    <row r="35" spans="1:22" ht="15" customHeight="1" x14ac:dyDescent="0.2">
      <c r="A35" s="9" t="s">
        <v>970</v>
      </c>
      <c r="B35" s="9">
        <v>3</v>
      </c>
      <c r="C35" s="9" t="s">
        <v>236</v>
      </c>
      <c r="D35" s="9" t="s">
        <v>257</v>
      </c>
      <c r="E35" s="9" t="s">
        <v>760</v>
      </c>
      <c r="F35" s="9" t="s">
        <v>720</v>
      </c>
      <c r="G35" s="9" t="s">
        <v>1071</v>
      </c>
      <c r="I35" s="10">
        <v>0.9</v>
      </c>
      <c r="J35" s="15">
        <v>64</v>
      </c>
      <c r="K35" s="15">
        <v>54</v>
      </c>
      <c r="L35" s="15">
        <v>27</v>
      </c>
      <c r="M35" s="15">
        <v>111</v>
      </c>
      <c r="N35" s="9">
        <f t="shared" si="5"/>
        <v>0.84375</v>
      </c>
      <c r="O35" s="9">
        <f t="shared" si="5"/>
        <v>0.5</v>
      </c>
      <c r="P35" s="9" t="s">
        <v>722</v>
      </c>
      <c r="Q35" s="9" t="s">
        <v>1073</v>
      </c>
      <c r="R35" s="15">
        <v>40.58</v>
      </c>
      <c r="S35" s="15">
        <v>21.72</v>
      </c>
      <c r="T35" s="15">
        <v>134</v>
      </c>
      <c r="U35" s="9">
        <v>3</v>
      </c>
      <c r="V35" s="9" t="s">
        <v>1083</v>
      </c>
    </row>
    <row r="36" spans="1:22" ht="15" customHeight="1" x14ac:dyDescent="0.2">
      <c r="A36" s="9" t="s">
        <v>971</v>
      </c>
      <c r="B36" s="9">
        <v>3</v>
      </c>
      <c r="C36" s="9" t="s">
        <v>236</v>
      </c>
      <c r="D36" s="9" t="s">
        <v>257</v>
      </c>
      <c r="E36" s="9" t="s">
        <v>261</v>
      </c>
      <c r="F36" s="9" t="s">
        <v>720</v>
      </c>
      <c r="G36" s="9" t="s">
        <v>1144</v>
      </c>
      <c r="I36" s="10">
        <v>0.95</v>
      </c>
      <c r="J36" s="15">
        <v>104</v>
      </c>
      <c r="K36" s="15">
        <v>63</v>
      </c>
      <c r="L36" s="15">
        <v>20</v>
      </c>
      <c r="M36" s="15">
        <v>154.1</v>
      </c>
      <c r="N36" s="9">
        <f t="shared" si="5"/>
        <v>0.60576923076923073</v>
      </c>
      <c r="O36" s="9">
        <f t="shared" si="5"/>
        <v>0.31746031746031744</v>
      </c>
      <c r="P36" s="9" t="s">
        <v>722</v>
      </c>
      <c r="Q36" s="9" t="s">
        <v>723</v>
      </c>
      <c r="U36" s="9">
        <v>0</v>
      </c>
      <c r="V36" s="9" t="s">
        <v>721</v>
      </c>
    </row>
    <row r="37" spans="1:22" ht="15" customHeight="1" x14ac:dyDescent="0.2">
      <c r="A37" s="9" t="s">
        <v>972</v>
      </c>
      <c r="B37" s="9">
        <v>3</v>
      </c>
      <c r="C37" s="9" t="s">
        <v>236</v>
      </c>
      <c r="D37" s="9" t="s">
        <v>253</v>
      </c>
      <c r="E37" s="9" t="s">
        <v>261</v>
      </c>
      <c r="F37" s="9" t="s">
        <v>1061</v>
      </c>
      <c r="H37" s="9" t="s">
        <v>1062</v>
      </c>
      <c r="I37" s="10">
        <v>0.95</v>
      </c>
      <c r="J37" s="15">
        <v>49</v>
      </c>
      <c r="K37" s="15">
        <v>34</v>
      </c>
      <c r="L37" s="15">
        <v>17</v>
      </c>
      <c r="M37" s="15">
        <v>35.200000000000003</v>
      </c>
    </row>
    <row r="38" spans="1:22" ht="15" customHeight="1" x14ac:dyDescent="0.2">
      <c r="A38" s="9" t="s">
        <v>973</v>
      </c>
      <c r="B38" s="9">
        <v>3</v>
      </c>
      <c r="C38" s="9" t="s">
        <v>236</v>
      </c>
      <c r="D38" s="9" t="s">
        <v>251</v>
      </c>
      <c r="E38" s="9" t="s">
        <v>261</v>
      </c>
      <c r="F38" s="9" t="s">
        <v>1061</v>
      </c>
      <c r="H38" s="9" t="s">
        <v>1089</v>
      </c>
      <c r="I38" s="10">
        <v>1</v>
      </c>
      <c r="J38" s="15">
        <v>66</v>
      </c>
      <c r="K38" s="15">
        <v>46</v>
      </c>
      <c r="L38" s="15">
        <v>21</v>
      </c>
      <c r="M38" s="15">
        <v>65.2</v>
      </c>
      <c r="Q38" s="9" t="s">
        <v>1069</v>
      </c>
      <c r="R38" s="15">
        <v>33.69</v>
      </c>
      <c r="S38" s="15">
        <v>17.02</v>
      </c>
      <c r="T38" s="15">
        <v>110</v>
      </c>
    </row>
    <row r="39" spans="1:22" ht="15" customHeight="1" x14ac:dyDescent="0.2">
      <c r="A39" s="9" t="s">
        <v>977</v>
      </c>
      <c r="B39" s="9">
        <v>3</v>
      </c>
      <c r="C39" s="9" t="s">
        <v>236</v>
      </c>
      <c r="D39" s="9" t="s">
        <v>251</v>
      </c>
      <c r="E39" s="9" t="s">
        <v>261</v>
      </c>
      <c r="F39" s="9" t="s">
        <v>720</v>
      </c>
      <c r="G39" s="9" t="s">
        <v>1071</v>
      </c>
      <c r="I39" s="10">
        <v>1</v>
      </c>
      <c r="J39" s="15">
        <v>51</v>
      </c>
      <c r="K39" s="15">
        <v>29</v>
      </c>
      <c r="L39" s="15">
        <v>9</v>
      </c>
      <c r="M39" s="15">
        <v>17.8</v>
      </c>
      <c r="N39" s="9">
        <f>K39/J39</f>
        <v>0.56862745098039214</v>
      </c>
      <c r="O39" s="9">
        <f>L39/K39</f>
        <v>0.31034482758620691</v>
      </c>
      <c r="P39" s="9" t="s">
        <v>1084</v>
      </c>
      <c r="Q39" s="9" t="s">
        <v>1085</v>
      </c>
      <c r="R39" s="15">
        <v>37.200000000000003</v>
      </c>
      <c r="S39" s="15">
        <v>10.050000000000001</v>
      </c>
      <c r="T39" s="15">
        <v>108</v>
      </c>
      <c r="U39" s="9">
        <v>0</v>
      </c>
      <c r="V39" s="9" t="s">
        <v>721</v>
      </c>
    </row>
    <row r="40" spans="1:22" ht="15" customHeight="1" x14ac:dyDescent="0.2">
      <c r="A40" s="9" t="s">
        <v>978</v>
      </c>
      <c r="B40" s="9">
        <v>3</v>
      </c>
      <c r="C40" s="9" t="s">
        <v>236</v>
      </c>
      <c r="D40" s="9" t="s">
        <v>251</v>
      </c>
      <c r="E40" s="9" t="s">
        <v>261</v>
      </c>
      <c r="F40" s="9" t="s">
        <v>720</v>
      </c>
      <c r="G40" s="9" t="s">
        <v>1142</v>
      </c>
      <c r="I40" s="10">
        <v>0.25</v>
      </c>
      <c r="J40" s="15">
        <v>70</v>
      </c>
      <c r="K40" s="15">
        <v>45</v>
      </c>
      <c r="L40" s="15">
        <v>18</v>
      </c>
      <c r="M40" s="15">
        <v>73.099999999999994</v>
      </c>
      <c r="N40" s="9">
        <f>K40/J40</f>
        <v>0.6428571428571429</v>
      </c>
      <c r="O40" s="9">
        <f>L40/K40</f>
        <v>0.4</v>
      </c>
      <c r="P40" s="9" t="s">
        <v>722</v>
      </c>
      <c r="Q40" s="9" t="s">
        <v>1073</v>
      </c>
      <c r="R40" s="15">
        <v>38.57</v>
      </c>
      <c r="S40" s="15">
        <v>11.57</v>
      </c>
      <c r="T40" s="15">
        <v>124</v>
      </c>
      <c r="U40" s="9">
        <v>5</v>
      </c>
      <c r="V40" s="9" t="s">
        <v>1070</v>
      </c>
    </row>
    <row r="41" spans="1:22" ht="15" customHeight="1" x14ac:dyDescent="0.2">
      <c r="A41" s="9" t="s">
        <v>979</v>
      </c>
      <c r="B41" s="9">
        <v>3</v>
      </c>
      <c r="C41" s="9" t="s">
        <v>236</v>
      </c>
      <c r="D41" s="9" t="s">
        <v>251</v>
      </c>
      <c r="E41" s="9" t="s">
        <v>260</v>
      </c>
      <c r="F41" s="9" t="s">
        <v>1061</v>
      </c>
      <c r="H41" s="9" t="s">
        <v>1088</v>
      </c>
      <c r="I41" s="10">
        <v>0.6</v>
      </c>
      <c r="J41" s="15">
        <v>88</v>
      </c>
      <c r="K41" s="15">
        <v>46</v>
      </c>
      <c r="L41" s="15">
        <v>23</v>
      </c>
      <c r="M41" s="15">
        <v>108</v>
      </c>
    </row>
    <row r="42" spans="1:22" ht="15" customHeight="1" x14ac:dyDescent="0.2">
      <c r="A42" s="9" t="s">
        <v>980</v>
      </c>
      <c r="B42" s="9">
        <v>3</v>
      </c>
      <c r="C42" s="9" t="s">
        <v>240</v>
      </c>
      <c r="D42" s="9" t="s">
        <v>251</v>
      </c>
      <c r="E42" s="9" t="s">
        <v>261</v>
      </c>
      <c r="F42" s="9" t="s">
        <v>1061</v>
      </c>
      <c r="H42" s="9" t="s">
        <v>1088</v>
      </c>
      <c r="I42" s="10">
        <v>0.6</v>
      </c>
      <c r="J42" s="15">
        <v>80</v>
      </c>
      <c r="K42" s="15">
        <v>57</v>
      </c>
      <c r="L42" s="15">
        <v>27</v>
      </c>
      <c r="M42" s="15">
        <v>88.2</v>
      </c>
    </row>
    <row r="43" spans="1:22" ht="15" customHeight="1" x14ac:dyDescent="0.2">
      <c r="A43" s="9" t="s">
        <v>1002</v>
      </c>
      <c r="B43" s="9">
        <v>3</v>
      </c>
      <c r="C43" s="9" t="s">
        <v>236</v>
      </c>
      <c r="D43" s="9" t="s">
        <v>251</v>
      </c>
      <c r="E43" s="9" t="s">
        <v>261</v>
      </c>
      <c r="F43" s="9" t="s">
        <v>1061</v>
      </c>
      <c r="H43" s="9" t="s">
        <v>1065</v>
      </c>
      <c r="I43" s="10">
        <v>0.8</v>
      </c>
      <c r="J43" s="15">
        <v>83</v>
      </c>
      <c r="K43" s="15">
        <v>63</v>
      </c>
      <c r="L43" s="15">
        <v>22</v>
      </c>
      <c r="M43" s="15">
        <v>152.30000000000001</v>
      </c>
    </row>
    <row r="44" spans="1:22" ht="15" customHeight="1" x14ac:dyDescent="0.2">
      <c r="A44" s="9" t="s">
        <v>1003</v>
      </c>
      <c r="B44" s="9">
        <v>3</v>
      </c>
      <c r="C44" s="9" t="s">
        <v>236</v>
      </c>
      <c r="D44" s="9" t="s">
        <v>257</v>
      </c>
      <c r="E44" s="9" t="s">
        <v>262</v>
      </c>
      <c r="F44" s="9" t="s">
        <v>720</v>
      </c>
      <c r="G44" s="9" t="s">
        <v>1143</v>
      </c>
      <c r="I44" s="10">
        <v>0.4</v>
      </c>
      <c r="J44" s="15">
        <v>63</v>
      </c>
      <c r="K44" s="15">
        <v>49</v>
      </c>
      <c r="L44" s="15">
        <v>22</v>
      </c>
      <c r="M44" s="15">
        <v>79</v>
      </c>
      <c r="N44" s="9">
        <f>K44/J44</f>
        <v>0.77777777777777779</v>
      </c>
      <c r="O44" s="9">
        <f>L44/K44</f>
        <v>0.44897959183673469</v>
      </c>
      <c r="P44" s="9" t="s">
        <v>1077</v>
      </c>
      <c r="Q44" s="9" t="s">
        <v>1073</v>
      </c>
      <c r="R44" s="15">
        <v>32.200000000000003</v>
      </c>
      <c r="S44" s="15">
        <v>7.36</v>
      </c>
      <c r="T44" s="15">
        <v>122</v>
      </c>
      <c r="U44" s="9">
        <v>5</v>
      </c>
      <c r="V44" s="9" t="s">
        <v>1082</v>
      </c>
    </row>
    <row r="45" spans="1:22" ht="15" customHeight="1" x14ac:dyDescent="0.2">
      <c r="A45" s="9" t="s">
        <v>1004</v>
      </c>
      <c r="B45" s="9">
        <v>3</v>
      </c>
      <c r="C45" s="9" t="s">
        <v>236</v>
      </c>
      <c r="D45" s="9" t="s">
        <v>251</v>
      </c>
      <c r="E45" s="9" t="s">
        <v>262</v>
      </c>
      <c r="F45" s="9" t="s">
        <v>720</v>
      </c>
      <c r="G45" s="9" t="s">
        <v>1071</v>
      </c>
      <c r="I45" s="10">
        <v>1</v>
      </c>
      <c r="J45" s="15">
        <v>65</v>
      </c>
      <c r="K45" s="15">
        <v>64</v>
      </c>
      <c r="L45" s="15">
        <v>28</v>
      </c>
      <c r="M45" s="15">
        <v>102.7</v>
      </c>
      <c r="N45" s="9">
        <f>K45/J45</f>
        <v>0.98461538461538467</v>
      </c>
      <c r="O45" s="9">
        <f>L45/K45</f>
        <v>0.4375</v>
      </c>
      <c r="P45" s="9" t="s">
        <v>722</v>
      </c>
      <c r="Q45" s="9" t="s">
        <v>1069</v>
      </c>
      <c r="R45" s="15">
        <v>60.88</v>
      </c>
      <c r="S45" s="15">
        <v>17.07</v>
      </c>
      <c r="T45" s="15">
        <v>99</v>
      </c>
      <c r="U45" s="9">
        <v>0</v>
      </c>
      <c r="V45" s="9" t="s">
        <v>721</v>
      </c>
    </row>
    <row r="46" spans="1:22" ht="15" customHeight="1" x14ac:dyDescent="0.2">
      <c r="A46" s="9" t="s">
        <v>1005</v>
      </c>
      <c r="B46" s="9">
        <v>3</v>
      </c>
      <c r="C46" s="9" t="s">
        <v>236</v>
      </c>
      <c r="D46" s="9" t="s">
        <v>251</v>
      </c>
      <c r="E46" s="9" t="s">
        <v>260</v>
      </c>
      <c r="F46" s="9" t="s">
        <v>1061</v>
      </c>
      <c r="H46" s="9" t="s">
        <v>1064</v>
      </c>
      <c r="I46" s="10">
        <v>1</v>
      </c>
      <c r="J46" s="15">
        <v>55</v>
      </c>
      <c r="K46" s="15">
        <v>52</v>
      </c>
      <c r="L46" s="15">
        <v>20</v>
      </c>
      <c r="M46" s="15">
        <v>59.7</v>
      </c>
    </row>
    <row r="47" spans="1:22" ht="15" customHeight="1" x14ac:dyDescent="0.2">
      <c r="A47" s="9" t="s">
        <v>1006</v>
      </c>
      <c r="B47" s="9">
        <v>3</v>
      </c>
      <c r="C47" s="9" t="s">
        <v>236</v>
      </c>
      <c r="D47" s="9" t="s">
        <v>251</v>
      </c>
      <c r="E47" s="9" t="s">
        <v>261</v>
      </c>
      <c r="F47" s="9" t="s">
        <v>720</v>
      </c>
      <c r="G47" s="9" t="s">
        <v>1071</v>
      </c>
      <c r="I47" s="10">
        <v>0.75</v>
      </c>
      <c r="J47" s="15">
        <v>66</v>
      </c>
      <c r="K47" s="15">
        <v>41</v>
      </c>
      <c r="L47" s="15">
        <v>20</v>
      </c>
      <c r="M47" s="15">
        <v>43.5</v>
      </c>
      <c r="N47" s="9">
        <f>K47/J47</f>
        <v>0.62121212121212122</v>
      </c>
      <c r="O47" s="9">
        <f>L47/K47</f>
        <v>0.48780487804878048</v>
      </c>
      <c r="P47" s="9" t="s">
        <v>722</v>
      </c>
      <c r="Q47" s="9" t="s">
        <v>1073</v>
      </c>
      <c r="R47" s="15">
        <v>28.48</v>
      </c>
      <c r="S47" s="15">
        <v>19.21</v>
      </c>
      <c r="T47" s="15">
        <v>92</v>
      </c>
      <c r="U47" s="9">
        <v>2</v>
      </c>
      <c r="V47" s="9" t="s">
        <v>1070</v>
      </c>
    </row>
    <row r="48" spans="1:22" ht="15" customHeight="1" x14ac:dyDescent="0.2">
      <c r="A48" s="9" t="s">
        <v>1007</v>
      </c>
      <c r="B48" s="9">
        <v>3</v>
      </c>
      <c r="C48" s="9" t="s">
        <v>236</v>
      </c>
      <c r="D48" s="9" t="s">
        <v>257</v>
      </c>
      <c r="E48" s="9" t="s">
        <v>261</v>
      </c>
      <c r="F48" s="9" t="s">
        <v>720</v>
      </c>
      <c r="G48" s="9" t="s">
        <v>1142</v>
      </c>
      <c r="I48" s="10">
        <v>0.35</v>
      </c>
      <c r="J48" s="15">
        <v>94</v>
      </c>
      <c r="K48" s="15">
        <v>65</v>
      </c>
      <c r="L48" s="15">
        <v>20</v>
      </c>
      <c r="M48" s="15">
        <v>123.2</v>
      </c>
      <c r="N48" s="9">
        <f>K48/J48</f>
        <v>0.69148936170212771</v>
      </c>
      <c r="O48" s="9">
        <f>L48/K48</f>
        <v>0.30769230769230771</v>
      </c>
      <c r="P48" s="9" t="s">
        <v>722</v>
      </c>
      <c r="Q48" s="9" t="s">
        <v>1068</v>
      </c>
      <c r="R48" s="15">
        <v>60.51</v>
      </c>
      <c r="S48" s="15">
        <v>15.8</v>
      </c>
      <c r="T48" s="15">
        <v>127</v>
      </c>
      <c r="U48" s="9">
        <v>3</v>
      </c>
      <c r="V48" s="9" t="s">
        <v>1070</v>
      </c>
    </row>
    <row r="49" spans="1:13" ht="15" customHeight="1" x14ac:dyDescent="0.2">
      <c r="A49" s="9" t="s">
        <v>771</v>
      </c>
      <c r="B49" s="9">
        <v>3</v>
      </c>
      <c r="C49" s="9" t="s">
        <v>236</v>
      </c>
      <c r="D49" s="9" t="s">
        <v>251</v>
      </c>
      <c r="E49" s="9" t="s">
        <v>261</v>
      </c>
      <c r="F49" s="9" t="s">
        <v>1061</v>
      </c>
      <c r="H49" s="9" t="s">
        <v>1064</v>
      </c>
      <c r="I49" s="10">
        <v>0.6</v>
      </c>
      <c r="J49" s="15">
        <v>71</v>
      </c>
      <c r="K49" s="15">
        <v>51</v>
      </c>
      <c r="L49" s="15">
        <v>30</v>
      </c>
      <c r="M49" s="15">
        <v>151.1</v>
      </c>
    </row>
    <row r="50" spans="1:13" ht="15" customHeight="1" x14ac:dyDescent="0.2">
      <c r="A50" s="9" t="s">
        <v>1091</v>
      </c>
      <c r="B50" s="9">
        <v>3</v>
      </c>
      <c r="C50" s="9" t="s">
        <v>236</v>
      </c>
      <c r="D50" s="9" t="s">
        <v>251</v>
      </c>
      <c r="E50" s="9" t="s">
        <v>261</v>
      </c>
      <c r="F50" s="9" t="s">
        <v>1061</v>
      </c>
      <c r="H50" s="9" t="s">
        <v>1063</v>
      </c>
      <c r="I50" s="10">
        <v>0.95</v>
      </c>
      <c r="J50" s="15">
        <v>71</v>
      </c>
      <c r="K50" s="15">
        <v>59</v>
      </c>
      <c r="L50" s="15">
        <v>23</v>
      </c>
      <c r="M50" s="15">
        <v>104.2</v>
      </c>
    </row>
    <row r="51" spans="1:13" ht="15" customHeight="1" x14ac:dyDescent="0.2">
      <c r="A51" s="9" t="s">
        <v>1013</v>
      </c>
      <c r="B51" s="9">
        <v>3</v>
      </c>
      <c r="C51" s="9" t="s">
        <v>236</v>
      </c>
      <c r="D51" s="9" t="s">
        <v>253</v>
      </c>
      <c r="E51" s="9" t="s">
        <v>261</v>
      </c>
      <c r="F51" s="9" t="s">
        <v>1061</v>
      </c>
      <c r="H51" s="9" t="s">
        <v>1062</v>
      </c>
      <c r="I51" s="10">
        <v>0.9</v>
      </c>
      <c r="J51" s="15">
        <v>54</v>
      </c>
      <c r="K51" s="15">
        <v>49</v>
      </c>
      <c r="L51" s="15">
        <v>18</v>
      </c>
      <c r="M51" s="15">
        <v>42.1</v>
      </c>
    </row>
    <row r="52" spans="1:13" ht="15" customHeight="1" x14ac:dyDescent="0.2">
      <c r="A52" s="9" t="s">
        <v>1014</v>
      </c>
      <c r="B52" s="9">
        <v>3</v>
      </c>
      <c r="C52" s="9" t="s">
        <v>236</v>
      </c>
      <c r="D52" s="9" t="s">
        <v>253</v>
      </c>
      <c r="E52" s="9" t="s">
        <v>260</v>
      </c>
      <c r="F52" s="9" t="s">
        <v>1061</v>
      </c>
      <c r="H52" s="9" t="s">
        <v>1064</v>
      </c>
      <c r="I52" s="10">
        <v>0.2</v>
      </c>
      <c r="J52" s="15">
        <v>79</v>
      </c>
      <c r="K52" s="15">
        <v>55</v>
      </c>
      <c r="L52" s="15">
        <v>23</v>
      </c>
      <c r="M52" s="15">
        <v>113.7</v>
      </c>
    </row>
    <row r="53" spans="1:13" ht="15" customHeight="1" x14ac:dyDescent="0.2">
      <c r="A53" s="9" t="s">
        <v>1015</v>
      </c>
      <c r="B53" s="9">
        <v>3</v>
      </c>
      <c r="C53" s="9" t="s">
        <v>236</v>
      </c>
      <c r="D53" s="9" t="s">
        <v>253</v>
      </c>
      <c r="E53" s="9" t="s">
        <v>261</v>
      </c>
      <c r="F53" s="9" t="s">
        <v>1061</v>
      </c>
      <c r="H53" s="9" t="s">
        <v>1063</v>
      </c>
      <c r="I53" s="10">
        <v>1</v>
      </c>
      <c r="J53" s="15">
        <v>53</v>
      </c>
      <c r="K53" s="15">
        <v>29</v>
      </c>
      <c r="L53" s="15">
        <v>24</v>
      </c>
      <c r="M53" s="15">
        <v>55.1</v>
      </c>
    </row>
    <row r="54" spans="1:13" ht="15" customHeight="1" x14ac:dyDescent="0.2">
      <c r="A54" s="9" t="s">
        <v>1016</v>
      </c>
      <c r="B54" s="9">
        <v>3</v>
      </c>
      <c r="C54" s="9" t="s">
        <v>236</v>
      </c>
      <c r="D54" s="9" t="s">
        <v>253</v>
      </c>
      <c r="E54" s="9" t="s">
        <v>261</v>
      </c>
      <c r="F54" s="9" t="s">
        <v>1061</v>
      </c>
      <c r="H54" s="9" t="s">
        <v>1063</v>
      </c>
      <c r="I54" s="10">
        <v>0.4</v>
      </c>
      <c r="J54" s="15">
        <v>51</v>
      </c>
      <c r="K54" s="15">
        <v>46</v>
      </c>
      <c r="L54" s="15">
        <v>20</v>
      </c>
      <c r="M54" s="15">
        <v>67.2</v>
      </c>
    </row>
    <row r="55" spans="1:13" ht="15" customHeight="1" x14ac:dyDescent="0.2">
      <c r="A55" s="9" t="s">
        <v>1017</v>
      </c>
      <c r="B55" s="9">
        <v>3</v>
      </c>
      <c r="C55" s="9" t="s">
        <v>236</v>
      </c>
      <c r="D55" s="9" t="s">
        <v>253</v>
      </c>
      <c r="E55" s="9" t="s">
        <v>260</v>
      </c>
      <c r="F55" s="9" t="s">
        <v>1061</v>
      </c>
      <c r="H55" s="9" t="s">
        <v>1063</v>
      </c>
      <c r="I55" s="10">
        <v>0</v>
      </c>
      <c r="J55" s="15">
        <v>69</v>
      </c>
      <c r="K55" s="15">
        <v>66</v>
      </c>
      <c r="L55" s="15">
        <v>34</v>
      </c>
      <c r="M55" s="15">
        <v>145.6</v>
      </c>
    </row>
    <row r="56" spans="1:13" ht="15" customHeight="1" x14ac:dyDescent="0.2">
      <c r="A56" s="9" t="s">
        <v>1018</v>
      </c>
      <c r="B56" s="9">
        <v>3</v>
      </c>
      <c r="C56" s="9" t="s">
        <v>236</v>
      </c>
      <c r="D56" s="9" t="s">
        <v>251</v>
      </c>
      <c r="E56" s="9" t="s">
        <v>262</v>
      </c>
      <c r="F56" s="9" t="s">
        <v>1061</v>
      </c>
      <c r="H56" s="9" t="s">
        <v>1063</v>
      </c>
      <c r="I56" s="10">
        <v>0.05</v>
      </c>
      <c r="J56" s="15">
        <v>42</v>
      </c>
      <c r="K56" s="15">
        <v>37</v>
      </c>
      <c r="L56" s="15">
        <v>19</v>
      </c>
      <c r="M56" s="15">
        <v>23.5</v>
      </c>
    </row>
    <row r="57" spans="1:13" ht="15" customHeight="1" x14ac:dyDescent="0.2">
      <c r="A57" s="9" t="s">
        <v>1022</v>
      </c>
      <c r="B57" s="9">
        <v>3</v>
      </c>
      <c r="C57" s="9" t="s">
        <v>236</v>
      </c>
      <c r="D57" s="9" t="s">
        <v>251</v>
      </c>
      <c r="E57" s="9" t="s">
        <v>261</v>
      </c>
      <c r="F57" s="9" t="s">
        <v>1061</v>
      </c>
      <c r="H57" s="9" t="s">
        <v>1062</v>
      </c>
      <c r="I57" s="10">
        <v>0.8</v>
      </c>
      <c r="J57" s="15">
        <v>38</v>
      </c>
      <c r="K57" s="15">
        <v>58</v>
      </c>
      <c r="L57" s="15">
        <v>26</v>
      </c>
      <c r="M57" s="15">
        <v>91.8</v>
      </c>
    </row>
    <row r="58" spans="1:13" ht="15" customHeight="1" x14ac:dyDescent="0.2">
      <c r="A58" s="9" t="s">
        <v>1024</v>
      </c>
      <c r="B58" s="9">
        <v>3</v>
      </c>
      <c r="C58" s="9" t="s">
        <v>236</v>
      </c>
      <c r="D58" s="9" t="s">
        <v>251</v>
      </c>
      <c r="E58" s="9" t="s">
        <v>260</v>
      </c>
      <c r="F58" s="9" t="s">
        <v>1061</v>
      </c>
      <c r="H58" s="9" t="s">
        <v>1064</v>
      </c>
      <c r="I58" s="10">
        <v>0.1</v>
      </c>
      <c r="J58" s="15">
        <v>51</v>
      </c>
      <c r="K58" s="15">
        <v>40</v>
      </c>
      <c r="L58" s="15">
        <v>24</v>
      </c>
      <c r="M58" s="15">
        <v>55.9</v>
      </c>
    </row>
    <row r="59" spans="1:13" ht="15" customHeight="1" x14ac:dyDescent="0.2">
      <c r="A59" s="9" t="s">
        <v>1047</v>
      </c>
      <c r="B59" s="9">
        <v>3</v>
      </c>
      <c r="C59" s="9" t="s">
        <v>236</v>
      </c>
      <c r="D59" s="9" t="s">
        <v>251</v>
      </c>
      <c r="E59" s="9" t="s">
        <v>263</v>
      </c>
      <c r="F59" s="9" t="s">
        <v>1061</v>
      </c>
      <c r="H59" s="9" t="s">
        <v>1065</v>
      </c>
      <c r="I59" s="10">
        <v>1</v>
      </c>
      <c r="J59" s="15">
        <v>26</v>
      </c>
      <c r="K59" s="15">
        <v>38</v>
      </c>
      <c r="L59" s="15">
        <v>15</v>
      </c>
      <c r="M59" s="15">
        <v>15</v>
      </c>
    </row>
    <row r="60" spans="1:13" ht="15" customHeight="1" x14ac:dyDescent="0.2">
      <c r="A60" s="9" t="s">
        <v>1055</v>
      </c>
      <c r="B60" s="9">
        <v>3</v>
      </c>
      <c r="C60" s="9" t="s">
        <v>236</v>
      </c>
      <c r="D60" s="9" t="s">
        <v>251</v>
      </c>
      <c r="E60" s="9" t="s">
        <v>262</v>
      </c>
      <c r="F60" s="9" t="s">
        <v>1061</v>
      </c>
      <c r="H60" s="9" t="s">
        <v>1062</v>
      </c>
      <c r="I60" s="10">
        <v>0.9</v>
      </c>
      <c r="J60" s="15">
        <v>49</v>
      </c>
      <c r="K60" s="15">
        <v>39</v>
      </c>
      <c r="L60" s="15">
        <v>15</v>
      </c>
      <c r="M60" s="15">
        <v>30.7</v>
      </c>
    </row>
    <row r="61" spans="1:13" ht="15" customHeight="1" x14ac:dyDescent="0.2">
      <c r="A61" s="9" t="s">
        <v>1056</v>
      </c>
      <c r="B61" s="9">
        <v>3</v>
      </c>
      <c r="C61" s="9" t="s">
        <v>236</v>
      </c>
      <c r="D61" s="9" t="s">
        <v>251</v>
      </c>
      <c r="E61" s="9" t="s">
        <v>260</v>
      </c>
      <c r="F61" s="9" t="s">
        <v>1061</v>
      </c>
      <c r="H61" s="9" t="s">
        <v>1065</v>
      </c>
      <c r="I61" s="10">
        <v>0</v>
      </c>
      <c r="J61" s="15">
        <v>41</v>
      </c>
      <c r="K61" s="15">
        <v>58</v>
      </c>
      <c r="L61" s="15">
        <v>19</v>
      </c>
      <c r="M61" s="15">
        <v>54.9</v>
      </c>
    </row>
    <row r="62" spans="1:13" ht="15" customHeight="1" x14ac:dyDescent="0.2">
      <c r="A62" s="9" t="s">
        <v>1057</v>
      </c>
      <c r="B62" s="9">
        <v>3</v>
      </c>
      <c r="C62" s="9" t="s">
        <v>236</v>
      </c>
      <c r="D62" s="9" t="s">
        <v>251</v>
      </c>
      <c r="E62" s="9" t="s">
        <v>261</v>
      </c>
      <c r="F62" s="9" t="s">
        <v>1061</v>
      </c>
      <c r="H62" s="9" t="s">
        <v>1063</v>
      </c>
      <c r="I62" s="10">
        <v>0</v>
      </c>
      <c r="J62" s="15">
        <v>50</v>
      </c>
      <c r="K62" s="15">
        <v>49</v>
      </c>
      <c r="L62" s="15">
        <v>9</v>
      </c>
      <c r="M62" s="15">
        <v>27.4</v>
      </c>
    </row>
    <row r="63" spans="1:13" ht="15" customHeight="1" x14ac:dyDescent="0.2">
      <c r="A63" s="9" t="s">
        <v>1058</v>
      </c>
      <c r="B63" s="9">
        <v>3</v>
      </c>
      <c r="C63" s="9" t="s">
        <v>236</v>
      </c>
      <c r="D63" s="9" t="s">
        <v>251</v>
      </c>
      <c r="E63" s="9" t="s">
        <v>261</v>
      </c>
      <c r="F63" s="9" t="s">
        <v>1061</v>
      </c>
      <c r="H63" s="9" t="s">
        <v>1064</v>
      </c>
      <c r="I63" s="10">
        <v>1</v>
      </c>
      <c r="J63" s="15">
        <v>44</v>
      </c>
      <c r="K63" s="15">
        <v>52</v>
      </c>
      <c r="L63" s="15">
        <v>14</v>
      </c>
      <c r="M63" s="15">
        <v>36.5</v>
      </c>
    </row>
    <row r="64" spans="1:13" ht="15" customHeight="1" x14ac:dyDescent="0.2">
      <c r="A64" s="9" t="s">
        <v>1059</v>
      </c>
      <c r="B64" s="9">
        <v>3</v>
      </c>
      <c r="C64" s="9" t="s">
        <v>236</v>
      </c>
      <c r="D64" s="9" t="s">
        <v>251</v>
      </c>
      <c r="E64" s="9" t="s">
        <v>261</v>
      </c>
      <c r="F64" s="9" t="s">
        <v>1061</v>
      </c>
      <c r="H64" s="9" t="s">
        <v>1062</v>
      </c>
      <c r="I64" s="10">
        <v>0</v>
      </c>
      <c r="J64" s="15">
        <v>53</v>
      </c>
      <c r="K64" s="15">
        <v>55</v>
      </c>
      <c r="L64" s="15">
        <v>14</v>
      </c>
      <c r="M64" s="15">
        <v>37.700000000000003</v>
      </c>
    </row>
    <row r="65" spans="1:22" ht="15" customHeight="1" x14ac:dyDescent="0.2">
      <c r="A65" s="9" t="s">
        <v>854</v>
      </c>
      <c r="B65" s="9">
        <v>4</v>
      </c>
      <c r="C65" s="9" t="s">
        <v>237</v>
      </c>
      <c r="D65" s="9" t="s">
        <v>251</v>
      </c>
      <c r="E65" s="9" t="s">
        <v>260</v>
      </c>
      <c r="F65" s="9" t="s">
        <v>720</v>
      </c>
      <c r="G65" s="9" t="s">
        <v>724</v>
      </c>
      <c r="I65" s="10">
        <v>0</v>
      </c>
      <c r="J65" s="15">
        <v>50</v>
      </c>
      <c r="K65" s="15">
        <v>33</v>
      </c>
      <c r="L65" s="15">
        <v>17</v>
      </c>
      <c r="M65" s="15">
        <v>20.5</v>
      </c>
      <c r="N65" s="9">
        <f t="shared" ref="N65:N79" si="6">K65/J65</f>
        <v>0.66</v>
      </c>
      <c r="O65" s="9">
        <f t="shared" ref="O65:O79" si="7">L65/K65</f>
        <v>0.51515151515151514</v>
      </c>
      <c r="P65" s="9" t="s">
        <v>1086</v>
      </c>
      <c r="Q65" s="9" t="s">
        <v>1085</v>
      </c>
      <c r="R65" s="15">
        <v>30</v>
      </c>
      <c r="S65" s="15">
        <v>7</v>
      </c>
      <c r="T65" s="15">
        <v>127</v>
      </c>
      <c r="U65" s="9">
        <v>2</v>
      </c>
      <c r="V65" s="9" t="s">
        <v>1083</v>
      </c>
    </row>
    <row r="66" spans="1:22" ht="15" customHeight="1" x14ac:dyDescent="0.2">
      <c r="A66" s="9" t="s">
        <v>855</v>
      </c>
      <c r="B66" s="9">
        <v>4</v>
      </c>
      <c r="C66" s="9" t="s">
        <v>237</v>
      </c>
      <c r="D66" s="9" t="s">
        <v>251</v>
      </c>
      <c r="E66" s="9" t="s">
        <v>708</v>
      </c>
      <c r="F66" s="9" t="s">
        <v>720</v>
      </c>
      <c r="G66" s="9" t="s">
        <v>1142</v>
      </c>
      <c r="I66" s="10">
        <v>0.2</v>
      </c>
      <c r="J66" s="15">
        <v>59</v>
      </c>
      <c r="K66" s="15">
        <v>40</v>
      </c>
      <c r="L66" s="15">
        <v>25</v>
      </c>
      <c r="M66" s="15">
        <v>78.599999999999994</v>
      </c>
      <c r="N66" s="9">
        <f t="shared" si="6"/>
        <v>0.67796610169491522</v>
      </c>
      <c r="O66" s="9">
        <f t="shared" si="7"/>
        <v>0.625</v>
      </c>
      <c r="P66" s="9" t="s">
        <v>1084</v>
      </c>
      <c r="Q66" s="9" t="s">
        <v>966</v>
      </c>
      <c r="R66" s="15">
        <v>30</v>
      </c>
      <c r="S66" s="15">
        <v>21</v>
      </c>
      <c r="T66" s="15">
        <v>96</v>
      </c>
      <c r="U66" s="9">
        <v>2</v>
      </c>
      <c r="V66" s="9" t="s">
        <v>1070</v>
      </c>
    </row>
    <row r="67" spans="1:22" ht="15" customHeight="1" x14ac:dyDescent="0.2">
      <c r="A67" s="9" t="s">
        <v>856</v>
      </c>
      <c r="B67" s="9">
        <v>4</v>
      </c>
      <c r="C67" s="9" t="s">
        <v>237</v>
      </c>
      <c r="D67" s="9" t="s">
        <v>253</v>
      </c>
      <c r="E67" s="9" t="s">
        <v>261</v>
      </c>
      <c r="F67" s="9" t="s">
        <v>720</v>
      </c>
      <c r="G67" s="9" t="s">
        <v>1142</v>
      </c>
      <c r="I67" s="10">
        <v>0.3</v>
      </c>
      <c r="J67" s="15">
        <v>72</v>
      </c>
      <c r="K67" s="15">
        <v>69</v>
      </c>
      <c r="L67" s="15">
        <v>21</v>
      </c>
      <c r="M67" s="15">
        <v>123.2</v>
      </c>
      <c r="N67" s="9">
        <f t="shared" si="6"/>
        <v>0.95833333333333337</v>
      </c>
      <c r="O67" s="9">
        <f t="shared" si="7"/>
        <v>0.30434782608695654</v>
      </c>
      <c r="P67" s="9" t="s">
        <v>722</v>
      </c>
      <c r="Q67" s="9" t="s">
        <v>966</v>
      </c>
      <c r="R67" s="15">
        <v>70</v>
      </c>
      <c r="S67" s="15">
        <v>21</v>
      </c>
      <c r="T67" s="15">
        <v>118</v>
      </c>
      <c r="U67" s="9">
        <v>2</v>
      </c>
      <c r="V67" s="9" t="s">
        <v>1070</v>
      </c>
    </row>
    <row r="68" spans="1:22" ht="15" customHeight="1" x14ac:dyDescent="0.2">
      <c r="A68" s="9" t="s">
        <v>857</v>
      </c>
      <c r="B68" s="9">
        <v>4</v>
      </c>
      <c r="C68" s="9" t="s">
        <v>237</v>
      </c>
      <c r="D68" s="9" t="s">
        <v>253</v>
      </c>
      <c r="E68" s="9" t="s">
        <v>261</v>
      </c>
      <c r="F68" s="9" t="s">
        <v>720</v>
      </c>
      <c r="G68" s="9" t="s">
        <v>1142</v>
      </c>
      <c r="I68" s="10">
        <v>0.5</v>
      </c>
      <c r="J68" s="15">
        <v>65</v>
      </c>
      <c r="K68" s="15">
        <v>54</v>
      </c>
      <c r="L68" s="15">
        <v>15</v>
      </c>
      <c r="M68" s="15">
        <v>67.2</v>
      </c>
      <c r="N68" s="9">
        <f t="shared" si="6"/>
        <v>0.83076923076923082</v>
      </c>
      <c r="O68" s="9">
        <f t="shared" si="7"/>
        <v>0.27777777777777779</v>
      </c>
      <c r="P68" s="9" t="s">
        <v>1077</v>
      </c>
      <c r="Q68" s="9" t="s">
        <v>1067</v>
      </c>
      <c r="R68" s="15">
        <v>40</v>
      </c>
      <c r="S68" s="15">
        <v>10</v>
      </c>
      <c r="T68" s="15">
        <v>118</v>
      </c>
      <c r="U68" s="9">
        <v>2</v>
      </c>
      <c r="V68" s="9" t="s">
        <v>1070</v>
      </c>
    </row>
    <row r="69" spans="1:22" ht="15" customHeight="1" x14ac:dyDescent="0.2">
      <c r="A69" s="9" t="s">
        <v>858</v>
      </c>
      <c r="B69" s="9">
        <v>4</v>
      </c>
      <c r="C69" s="9" t="s">
        <v>237</v>
      </c>
      <c r="D69" s="9" t="s">
        <v>253</v>
      </c>
      <c r="E69" s="9" t="s">
        <v>262</v>
      </c>
      <c r="F69" s="9" t="s">
        <v>720</v>
      </c>
      <c r="G69" s="9" t="s">
        <v>1144</v>
      </c>
      <c r="I69" s="10">
        <v>0.9</v>
      </c>
      <c r="J69" s="15">
        <v>58</v>
      </c>
      <c r="K69" s="15">
        <v>50</v>
      </c>
      <c r="L69" s="15">
        <v>19</v>
      </c>
      <c r="M69" s="15">
        <v>58.5</v>
      </c>
      <c r="N69" s="9">
        <f t="shared" si="6"/>
        <v>0.86206896551724133</v>
      </c>
      <c r="O69" s="9">
        <f t="shared" si="7"/>
        <v>0.38</v>
      </c>
      <c r="P69" s="9" t="s">
        <v>1077</v>
      </c>
      <c r="Q69" s="9" t="s">
        <v>1087</v>
      </c>
      <c r="U69" s="9">
        <v>0</v>
      </c>
      <c r="V69" s="9" t="s">
        <v>721</v>
      </c>
    </row>
    <row r="70" spans="1:22" ht="15" customHeight="1" x14ac:dyDescent="0.2">
      <c r="A70" s="9" t="s">
        <v>859</v>
      </c>
      <c r="B70" s="9">
        <v>4</v>
      </c>
      <c r="C70" s="9" t="s">
        <v>237</v>
      </c>
      <c r="D70" s="9" t="s">
        <v>251</v>
      </c>
      <c r="E70" s="9" t="s">
        <v>262</v>
      </c>
      <c r="F70" s="9" t="s">
        <v>720</v>
      </c>
      <c r="G70" s="9" t="s">
        <v>1143</v>
      </c>
      <c r="I70" s="10">
        <v>0.6</v>
      </c>
      <c r="J70" s="15">
        <v>70</v>
      </c>
      <c r="K70" s="15">
        <v>66</v>
      </c>
      <c r="L70" s="15">
        <v>21</v>
      </c>
      <c r="M70" s="15">
        <v>111.4</v>
      </c>
      <c r="N70" s="9">
        <f t="shared" si="6"/>
        <v>0.94285714285714284</v>
      </c>
      <c r="O70" s="9">
        <f t="shared" si="7"/>
        <v>0.31818181818181818</v>
      </c>
      <c r="P70" s="9" t="s">
        <v>1084</v>
      </c>
      <c r="Q70" s="9" t="s">
        <v>966</v>
      </c>
      <c r="R70" s="15">
        <v>30</v>
      </c>
      <c r="S70" s="15">
        <v>15</v>
      </c>
      <c r="T70" s="15">
        <v>114</v>
      </c>
      <c r="U70" s="9">
        <v>2</v>
      </c>
      <c r="V70" s="9" t="s">
        <v>1082</v>
      </c>
    </row>
    <row r="71" spans="1:22" ht="15" customHeight="1" x14ac:dyDescent="0.2">
      <c r="A71" s="9" t="s">
        <v>860</v>
      </c>
      <c r="B71" s="9">
        <v>4</v>
      </c>
      <c r="C71" s="9" t="s">
        <v>237</v>
      </c>
      <c r="D71" s="9" t="s">
        <v>251</v>
      </c>
      <c r="E71" s="9" t="s">
        <v>261</v>
      </c>
      <c r="F71" s="9" t="s">
        <v>720</v>
      </c>
      <c r="G71" s="9" t="s">
        <v>1071</v>
      </c>
      <c r="I71" s="10">
        <v>1</v>
      </c>
      <c r="J71" s="15">
        <v>52</v>
      </c>
      <c r="K71" s="15">
        <v>46</v>
      </c>
      <c r="L71" s="15">
        <v>18</v>
      </c>
      <c r="M71" s="15">
        <v>42</v>
      </c>
      <c r="N71" s="9">
        <f t="shared" si="6"/>
        <v>0.88461538461538458</v>
      </c>
      <c r="O71" s="9">
        <f t="shared" si="7"/>
        <v>0.39130434782608697</v>
      </c>
      <c r="P71" s="9" t="s">
        <v>1084</v>
      </c>
      <c r="Q71" s="9" t="s">
        <v>1067</v>
      </c>
      <c r="R71" s="15">
        <v>20</v>
      </c>
      <c r="S71" s="15">
        <v>10</v>
      </c>
      <c r="T71" s="15">
        <v>111</v>
      </c>
      <c r="U71" s="9">
        <v>0</v>
      </c>
      <c r="V71" s="9" t="s">
        <v>721</v>
      </c>
    </row>
    <row r="72" spans="1:22" ht="15" customHeight="1" x14ac:dyDescent="0.2">
      <c r="A72" s="9" t="s">
        <v>862</v>
      </c>
      <c r="B72" s="9">
        <v>4</v>
      </c>
      <c r="C72" s="9" t="s">
        <v>250</v>
      </c>
      <c r="D72" s="9" t="s">
        <v>253</v>
      </c>
      <c r="E72" s="9" t="s">
        <v>260</v>
      </c>
      <c r="F72" s="9" t="s">
        <v>720</v>
      </c>
      <c r="G72" s="9" t="s">
        <v>1071</v>
      </c>
      <c r="I72" s="10">
        <v>1</v>
      </c>
      <c r="J72" s="15">
        <v>100</v>
      </c>
      <c r="K72" s="15">
        <v>70</v>
      </c>
      <c r="L72" s="15">
        <v>41</v>
      </c>
      <c r="M72" s="15">
        <v>100</v>
      </c>
      <c r="N72" s="9">
        <f t="shared" si="6"/>
        <v>0.7</v>
      </c>
      <c r="O72" s="9">
        <f t="shared" si="7"/>
        <v>0.58571428571428574</v>
      </c>
      <c r="P72" s="9" t="s">
        <v>1086</v>
      </c>
      <c r="Q72" s="9" t="s">
        <v>1067</v>
      </c>
      <c r="R72" s="15">
        <v>59</v>
      </c>
      <c r="S72" s="15">
        <v>47</v>
      </c>
      <c r="T72" s="15">
        <v>127</v>
      </c>
      <c r="U72" s="9">
        <v>0</v>
      </c>
      <c r="V72" s="9" t="s">
        <v>721</v>
      </c>
    </row>
    <row r="73" spans="1:22" ht="15" customHeight="1" x14ac:dyDescent="0.2">
      <c r="A73" s="9" t="s">
        <v>917</v>
      </c>
      <c r="B73" s="9">
        <v>4</v>
      </c>
      <c r="C73" s="9" t="s">
        <v>237</v>
      </c>
      <c r="D73" s="9" t="s">
        <v>257</v>
      </c>
      <c r="E73" s="9" t="s">
        <v>760</v>
      </c>
      <c r="F73" s="9" t="s">
        <v>720</v>
      </c>
      <c r="G73" s="9" t="s">
        <v>1071</v>
      </c>
      <c r="I73" s="10">
        <v>0.9</v>
      </c>
      <c r="J73" s="15">
        <v>73</v>
      </c>
      <c r="K73" s="15">
        <v>67</v>
      </c>
      <c r="L73" s="15">
        <v>30</v>
      </c>
      <c r="M73" s="15">
        <v>154.1</v>
      </c>
      <c r="N73" s="9">
        <f t="shared" si="6"/>
        <v>0.9178082191780822</v>
      </c>
      <c r="O73" s="9">
        <f t="shared" si="7"/>
        <v>0.44776119402985076</v>
      </c>
      <c r="P73" s="9" t="s">
        <v>722</v>
      </c>
      <c r="Q73" s="9" t="s">
        <v>966</v>
      </c>
      <c r="R73" s="15">
        <v>54</v>
      </c>
      <c r="S73" s="15">
        <v>26</v>
      </c>
      <c r="T73" s="15">
        <v>126</v>
      </c>
      <c r="U73" s="9">
        <v>0</v>
      </c>
      <c r="V73" s="9" t="s">
        <v>721</v>
      </c>
    </row>
    <row r="74" spans="1:22" ht="15" customHeight="1" x14ac:dyDescent="0.2">
      <c r="A74" s="9" t="s">
        <v>918</v>
      </c>
      <c r="B74" s="9">
        <v>4</v>
      </c>
      <c r="C74" s="9" t="s">
        <v>237</v>
      </c>
      <c r="D74" s="9" t="s">
        <v>251</v>
      </c>
      <c r="E74" s="9" t="s">
        <v>262</v>
      </c>
      <c r="F74" s="9" t="s">
        <v>720</v>
      </c>
      <c r="G74" s="9" t="s">
        <v>1071</v>
      </c>
      <c r="I74" s="10">
        <v>0.7</v>
      </c>
      <c r="J74" s="15">
        <v>70</v>
      </c>
      <c r="K74" s="15">
        <v>69</v>
      </c>
      <c r="L74" s="15">
        <v>30</v>
      </c>
      <c r="M74" s="15">
        <v>125.4</v>
      </c>
      <c r="N74" s="9">
        <f t="shared" si="6"/>
        <v>0.98571428571428577</v>
      </c>
      <c r="O74" s="9">
        <f t="shared" si="7"/>
        <v>0.43478260869565216</v>
      </c>
      <c r="P74" s="9" t="s">
        <v>1086</v>
      </c>
      <c r="Q74" s="9" t="s">
        <v>1067</v>
      </c>
      <c r="R74" s="15">
        <v>15</v>
      </c>
      <c r="S74" s="15">
        <v>8</v>
      </c>
      <c r="T74" s="15">
        <v>138</v>
      </c>
      <c r="U74" s="9">
        <v>1</v>
      </c>
      <c r="V74" s="9" t="s">
        <v>1103</v>
      </c>
    </row>
    <row r="75" spans="1:22" ht="15" customHeight="1" x14ac:dyDescent="0.2">
      <c r="A75" s="9" t="s">
        <v>919</v>
      </c>
      <c r="B75" s="9">
        <v>4</v>
      </c>
      <c r="C75" s="9" t="s">
        <v>250</v>
      </c>
      <c r="D75" s="9" t="s">
        <v>251</v>
      </c>
      <c r="E75" s="9" t="s">
        <v>261</v>
      </c>
      <c r="F75" s="9" t="s">
        <v>720</v>
      </c>
      <c r="G75" s="9" t="s">
        <v>1142</v>
      </c>
      <c r="I75" s="10">
        <v>0.35</v>
      </c>
      <c r="J75" s="15">
        <v>73</v>
      </c>
      <c r="K75" s="15">
        <v>60</v>
      </c>
      <c r="L75" s="15">
        <v>22</v>
      </c>
      <c r="M75" s="15">
        <v>98</v>
      </c>
      <c r="N75" s="9">
        <f t="shared" si="6"/>
        <v>0.82191780821917804</v>
      </c>
      <c r="O75" s="9">
        <f t="shared" si="7"/>
        <v>0.36666666666666664</v>
      </c>
      <c r="P75" s="9" t="s">
        <v>1081</v>
      </c>
      <c r="Q75" s="9" t="s">
        <v>966</v>
      </c>
      <c r="R75" s="15">
        <v>34</v>
      </c>
      <c r="S75" s="15">
        <v>13</v>
      </c>
      <c r="T75" s="15">
        <v>123</v>
      </c>
      <c r="U75" s="9">
        <v>1</v>
      </c>
      <c r="V75" s="9" t="s">
        <v>1103</v>
      </c>
    </row>
    <row r="76" spans="1:22" ht="15" customHeight="1" x14ac:dyDescent="0.2">
      <c r="A76" s="9" t="s">
        <v>920</v>
      </c>
      <c r="B76" s="9">
        <v>4</v>
      </c>
      <c r="C76" s="9" t="s">
        <v>250</v>
      </c>
      <c r="D76" s="9" t="s">
        <v>251</v>
      </c>
      <c r="E76" s="9" t="s">
        <v>263</v>
      </c>
      <c r="F76" s="9" t="s">
        <v>720</v>
      </c>
      <c r="G76" s="9" t="s">
        <v>1071</v>
      </c>
      <c r="I76" s="10">
        <v>1</v>
      </c>
      <c r="J76" s="15">
        <v>53</v>
      </c>
      <c r="K76" s="15">
        <v>43</v>
      </c>
      <c r="L76" s="15">
        <v>22</v>
      </c>
      <c r="M76" s="15">
        <v>60.5</v>
      </c>
      <c r="N76" s="9">
        <f t="shared" si="6"/>
        <v>0.81132075471698117</v>
      </c>
      <c r="O76" s="9">
        <f t="shared" si="7"/>
        <v>0.51162790697674421</v>
      </c>
      <c r="P76" s="9" t="s">
        <v>1084</v>
      </c>
      <c r="Q76" s="9" t="s">
        <v>966</v>
      </c>
      <c r="R76" s="15">
        <v>22</v>
      </c>
      <c r="S76" s="15">
        <v>25</v>
      </c>
      <c r="T76" s="15">
        <v>94</v>
      </c>
      <c r="U76" s="9">
        <v>0</v>
      </c>
      <c r="V76" s="9" t="s">
        <v>721</v>
      </c>
    </row>
    <row r="77" spans="1:22" ht="15" customHeight="1" x14ac:dyDescent="0.2">
      <c r="A77" s="9" t="s">
        <v>974</v>
      </c>
      <c r="B77" s="9">
        <v>4</v>
      </c>
      <c r="C77" s="9" t="s">
        <v>237</v>
      </c>
      <c r="D77" s="9" t="s">
        <v>251</v>
      </c>
      <c r="E77" s="9" t="s">
        <v>261</v>
      </c>
      <c r="F77" s="9" t="s">
        <v>720</v>
      </c>
      <c r="G77" s="9" t="s">
        <v>1072</v>
      </c>
      <c r="I77" s="10">
        <v>0.1</v>
      </c>
      <c r="J77" s="15">
        <v>76</v>
      </c>
      <c r="K77" s="15">
        <v>48</v>
      </c>
      <c r="L77" s="15">
        <v>20</v>
      </c>
      <c r="M77" s="15">
        <v>72</v>
      </c>
      <c r="N77" s="9">
        <f t="shared" si="6"/>
        <v>0.63157894736842102</v>
      </c>
      <c r="O77" s="9">
        <f t="shared" si="7"/>
        <v>0.41666666666666669</v>
      </c>
      <c r="P77" s="9" t="s">
        <v>722</v>
      </c>
      <c r="Q77" s="9" t="s">
        <v>1073</v>
      </c>
      <c r="R77" s="15">
        <v>54.11</v>
      </c>
      <c r="S77" s="15">
        <v>22.56</v>
      </c>
      <c r="T77" s="15">
        <v>121</v>
      </c>
      <c r="U77" s="9">
        <v>6</v>
      </c>
      <c r="V77" s="9" t="s">
        <v>1074</v>
      </c>
    </row>
    <row r="78" spans="1:22" ht="15" customHeight="1" x14ac:dyDescent="0.2">
      <c r="A78" s="9" t="s">
        <v>990</v>
      </c>
      <c r="B78" s="9">
        <v>4</v>
      </c>
      <c r="C78" s="9" t="s">
        <v>237</v>
      </c>
      <c r="D78" s="9" t="s">
        <v>251</v>
      </c>
      <c r="E78" s="9" t="s">
        <v>260</v>
      </c>
      <c r="F78" s="9" t="s">
        <v>720</v>
      </c>
      <c r="G78" s="9" t="s">
        <v>1080</v>
      </c>
      <c r="I78" s="10">
        <v>0</v>
      </c>
      <c r="J78" s="15">
        <v>59</v>
      </c>
      <c r="K78" s="15">
        <v>47</v>
      </c>
      <c r="L78" s="15">
        <v>20</v>
      </c>
      <c r="M78" s="15">
        <v>46.2</v>
      </c>
      <c r="N78" s="9">
        <f t="shared" si="6"/>
        <v>0.79661016949152541</v>
      </c>
      <c r="O78" s="9">
        <f t="shared" si="7"/>
        <v>0.42553191489361702</v>
      </c>
      <c r="P78" s="9" t="s">
        <v>722</v>
      </c>
      <c r="Q78" s="9" t="s">
        <v>1073</v>
      </c>
      <c r="R78" s="15">
        <v>11.89</v>
      </c>
      <c r="S78" s="15">
        <v>5.28</v>
      </c>
      <c r="T78" s="15">
        <v>131</v>
      </c>
      <c r="U78" s="9">
        <v>4</v>
      </c>
      <c r="V78" s="9" t="s">
        <v>1070</v>
      </c>
    </row>
    <row r="79" spans="1:22" ht="15" customHeight="1" x14ac:dyDescent="0.2">
      <c r="A79" s="9" t="s">
        <v>991</v>
      </c>
      <c r="B79" s="9">
        <v>4</v>
      </c>
      <c r="C79" s="9" t="s">
        <v>237</v>
      </c>
      <c r="D79" s="9" t="s">
        <v>251</v>
      </c>
      <c r="E79" s="9" t="s">
        <v>261</v>
      </c>
      <c r="F79" s="9" t="s">
        <v>720</v>
      </c>
      <c r="G79" s="9" t="s">
        <v>1071</v>
      </c>
      <c r="I79" s="10">
        <v>0.9</v>
      </c>
      <c r="J79" s="15">
        <v>65</v>
      </c>
      <c r="K79" s="15">
        <v>36</v>
      </c>
      <c r="L79" s="15">
        <v>26</v>
      </c>
      <c r="M79" s="15">
        <v>75</v>
      </c>
      <c r="N79" s="9">
        <f t="shared" si="6"/>
        <v>0.55384615384615388</v>
      </c>
      <c r="O79" s="9">
        <f t="shared" si="7"/>
        <v>0.72222222222222221</v>
      </c>
      <c r="P79" s="9" t="s">
        <v>1084</v>
      </c>
      <c r="Q79" s="9" t="s">
        <v>1069</v>
      </c>
      <c r="R79" s="15">
        <v>30.69</v>
      </c>
      <c r="S79" s="15">
        <v>10.38</v>
      </c>
      <c r="T79" s="15">
        <v>121</v>
      </c>
      <c r="U79" s="9">
        <v>0</v>
      </c>
      <c r="V79" s="9" t="s">
        <v>721</v>
      </c>
    </row>
    <row r="80" spans="1:22" ht="15" customHeight="1" x14ac:dyDescent="0.2">
      <c r="A80" s="9" t="s">
        <v>992</v>
      </c>
      <c r="B80" s="9">
        <v>4</v>
      </c>
      <c r="C80" s="9" t="s">
        <v>250</v>
      </c>
      <c r="D80" s="9" t="s">
        <v>253</v>
      </c>
      <c r="E80" s="9" t="s">
        <v>261</v>
      </c>
      <c r="F80" s="9" t="s">
        <v>1061</v>
      </c>
      <c r="H80" s="9" t="s">
        <v>1065</v>
      </c>
      <c r="I80" s="10">
        <v>0.95</v>
      </c>
      <c r="J80" s="15">
        <v>58</v>
      </c>
      <c r="K80" s="15">
        <v>50</v>
      </c>
      <c r="L80" s="15">
        <v>28</v>
      </c>
      <c r="M80" s="15">
        <v>82.3</v>
      </c>
      <c r="Q80" s="9" t="s">
        <v>1069</v>
      </c>
      <c r="R80" s="15">
        <v>56.47</v>
      </c>
      <c r="S80" s="15">
        <v>26.81</v>
      </c>
      <c r="T80" s="15">
        <v>129</v>
      </c>
    </row>
    <row r="81" spans="1:22" ht="15" customHeight="1" x14ac:dyDescent="0.2">
      <c r="A81" s="9" t="s">
        <v>1019</v>
      </c>
      <c r="B81" s="9">
        <v>4</v>
      </c>
      <c r="C81" s="9" t="s">
        <v>237</v>
      </c>
      <c r="D81" s="9" t="s">
        <v>254</v>
      </c>
      <c r="E81" s="9" t="s">
        <v>261</v>
      </c>
      <c r="F81" s="9" t="s">
        <v>1061</v>
      </c>
      <c r="H81" s="9" t="s">
        <v>1062</v>
      </c>
      <c r="I81" s="10">
        <v>1</v>
      </c>
      <c r="J81" s="15">
        <v>76</v>
      </c>
      <c r="K81" s="15">
        <v>45</v>
      </c>
      <c r="L81" s="15">
        <v>29</v>
      </c>
      <c r="M81" s="15">
        <v>114.4</v>
      </c>
    </row>
    <row r="82" spans="1:22" ht="15" customHeight="1" x14ac:dyDescent="0.2">
      <c r="A82" s="9" t="s">
        <v>1048</v>
      </c>
      <c r="B82" s="9">
        <v>4</v>
      </c>
      <c r="C82" s="9" t="s">
        <v>237</v>
      </c>
      <c r="D82" s="9" t="s">
        <v>251</v>
      </c>
      <c r="E82" s="9" t="s">
        <v>260</v>
      </c>
      <c r="F82" s="9" t="s">
        <v>1061</v>
      </c>
      <c r="H82" s="9" t="s">
        <v>1063</v>
      </c>
      <c r="I82" s="10">
        <v>1</v>
      </c>
      <c r="J82" s="15">
        <v>32</v>
      </c>
      <c r="K82" s="15">
        <v>33</v>
      </c>
      <c r="L82" s="15">
        <v>14</v>
      </c>
      <c r="M82" s="15">
        <v>18.3</v>
      </c>
    </row>
    <row r="83" spans="1:22" ht="15" customHeight="1" x14ac:dyDescent="0.2">
      <c r="A83" s="9" t="s">
        <v>1049</v>
      </c>
      <c r="B83" s="9">
        <v>4</v>
      </c>
      <c r="C83" s="9" t="s">
        <v>250</v>
      </c>
      <c r="D83" s="9" t="s">
        <v>251</v>
      </c>
      <c r="E83" s="9" t="s">
        <v>261</v>
      </c>
      <c r="F83" s="9" t="s">
        <v>1061</v>
      </c>
      <c r="H83" s="9" t="s">
        <v>1062</v>
      </c>
      <c r="I83" s="10">
        <v>0.4</v>
      </c>
      <c r="J83" s="15">
        <v>66</v>
      </c>
      <c r="K83" s="15">
        <v>75</v>
      </c>
      <c r="L83" s="15">
        <v>43</v>
      </c>
      <c r="M83" s="15">
        <v>69.7</v>
      </c>
    </row>
    <row r="84" spans="1:22" ht="15" customHeight="1" x14ac:dyDescent="0.2">
      <c r="A84" s="9" t="s">
        <v>921</v>
      </c>
      <c r="B84" s="9">
        <v>5</v>
      </c>
      <c r="C84" s="9" t="s">
        <v>694</v>
      </c>
      <c r="D84" s="9" t="s">
        <v>257</v>
      </c>
      <c r="E84" s="9" t="s">
        <v>262</v>
      </c>
      <c r="F84" s="9" t="s">
        <v>720</v>
      </c>
      <c r="G84" s="9" t="s">
        <v>1142</v>
      </c>
      <c r="I84" s="10">
        <v>0.4</v>
      </c>
      <c r="J84" s="15">
        <v>56</v>
      </c>
      <c r="K84" s="15">
        <v>47</v>
      </c>
      <c r="L84" s="15">
        <v>27</v>
      </c>
      <c r="M84" s="15">
        <v>58.5</v>
      </c>
      <c r="N84" s="9">
        <f t="shared" ref="N84:O90" si="8">K84/J84</f>
        <v>0.8392857142857143</v>
      </c>
      <c r="O84" s="9">
        <f t="shared" si="8"/>
        <v>0.57446808510638303</v>
      </c>
      <c r="P84" s="9" t="s">
        <v>1086</v>
      </c>
      <c r="Q84" s="9" t="s">
        <v>966</v>
      </c>
      <c r="R84" s="15">
        <v>44</v>
      </c>
      <c r="S84" s="15">
        <v>27</v>
      </c>
      <c r="T84" s="15">
        <v>92</v>
      </c>
      <c r="U84" s="9">
        <v>2</v>
      </c>
      <c r="V84" s="9" t="s">
        <v>1070</v>
      </c>
    </row>
    <row r="85" spans="1:22" ht="15" customHeight="1" x14ac:dyDescent="0.2">
      <c r="A85" s="9" t="s">
        <v>864</v>
      </c>
      <c r="B85" s="9">
        <v>6</v>
      </c>
      <c r="C85" s="9" t="s">
        <v>238</v>
      </c>
      <c r="D85" s="9" t="s">
        <v>255</v>
      </c>
      <c r="E85" s="9" t="s">
        <v>760</v>
      </c>
      <c r="F85" s="9" t="s">
        <v>720</v>
      </c>
      <c r="G85" s="9" t="s">
        <v>1076</v>
      </c>
      <c r="I85" s="10">
        <v>0.7</v>
      </c>
      <c r="J85" s="15">
        <v>58</v>
      </c>
      <c r="K85" s="15">
        <v>52</v>
      </c>
      <c r="L85" s="15">
        <v>34</v>
      </c>
      <c r="M85" s="15">
        <v>134.9</v>
      </c>
      <c r="N85" s="9">
        <f t="shared" si="8"/>
        <v>0.89655172413793105</v>
      </c>
      <c r="O85" s="9">
        <f t="shared" si="8"/>
        <v>0.65384615384615385</v>
      </c>
      <c r="P85" s="9" t="s">
        <v>1084</v>
      </c>
      <c r="Q85" s="9" t="s">
        <v>966</v>
      </c>
      <c r="R85" s="15">
        <v>42</v>
      </c>
      <c r="S85" s="15">
        <v>31</v>
      </c>
      <c r="T85" s="15">
        <v>102</v>
      </c>
      <c r="U85" s="9">
        <v>2</v>
      </c>
      <c r="V85" s="9" t="s">
        <v>1070</v>
      </c>
    </row>
    <row r="86" spans="1:22" ht="15" customHeight="1" x14ac:dyDescent="0.2">
      <c r="A86" s="9" t="s">
        <v>865</v>
      </c>
      <c r="B86" s="9">
        <v>6</v>
      </c>
      <c r="C86" s="9" t="s">
        <v>965</v>
      </c>
      <c r="D86" s="9" t="s">
        <v>257</v>
      </c>
      <c r="E86" s="9" t="s">
        <v>708</v>
      </c>
      <c r="F86" s="9" t="s">
        <v>720</v>
      </c>
      <c r="G86" s="9" t="s">
        <v>724</v>
      </c>
      <c r="I86" s="10">
        <v>0.3</v>
      </c>
      <c r="J86" s="15">
        <v>68</v>
      </c>
      <c r="K86" s="15">
        <v>48</v>
      </c>
      <c r="L86" s="15">
        <v>23</v>
      </c>
      <c r="M86" s="15">
        <v>57.5</v>
      </c>
      <c r="N86" s="9">
        <f t="shared" si="8"/>
        <v>0.70588235294117652</v>
      </c>
      <c r="O86" s="9">
        <f t="shared" si="8"/>
        <v>0.47916666666666669</v>
      </c>
      <c r="P86" s="9" t="s">
        <v>1077</v>
      </c>
      <c r="Q86" s="9" t="s">
        <v>1073</v>
      </c>
      <c r="R86" s="15">
        <v>34</v>
      </c>
      <c r="S86" s="15">
        <v>12</v>
      </c>
      <c r="T86" s="15">
        <v>118</v>
      </c>
      <c r="U86" s="9">
        <v>4</v>
      </c>
      <c r="V86" s="9" t="s">
        <v>1093</v>
      </c>
    </row>
    <row r="87" spans="1:22" ht="15" customHeight="1" x14ac:dyDescent="0.2">
      <c r="A87" s="9" t="s">
        <v>866</v>
      </c>
      <c r="B87" s="9">
        <v>6</v>
      </c>
      <c r="C87" s="9" t="s">
        <v>238</v>
      </c>
      <c r="D87" s="9" t="s">
        <v>251</v>
      </c>
      <c r="E87" s="9" t="s">
        <v>260</v>
      </c>
      <c r="F87" s="9" t="s">
        <v>720</v>
      </c>
      <c r="G87" s="9" t="s">
        <v>724</v>
      </c>
      <c r="I87" s="10">
        <v>0.45</v>
      </c>
      <c r="J87" s="15">
        <v>65</v>
      </c>
      <c r="K87" s="15">
        <v>54</v>
      </c>
      <c r="L87" s="15">
        <v>13</v>
      </c>
      <c r="M87" s="15">
        <v>47.2</v>
      </c>
      <c r="N87" s="9">
        <f t="shared" si="8"/>
        <v>0.83076923076923082</v>
      </c>
      <c r="O87" s="9">
        <f t="shared" si="8"/>
        <v>0.24074074074074073</v>
      </c>
      <c r="P87" s="9" t="s">
        <v>1081</v>
      </c>
      <c r="Q87" s="9" t="s">
        <v>1067</v>
      </c>
      <c r="R87" s="15">
        <v>42</v>
      </c>
      <c r="S87" s="15">
        <v>9</v>
      </c>
      <c r="T87" s="15">
        <v>121</v>
      </c>
      <c r="U87" s="9">
        <v>2</v>
      </c>
      <c r="V87" s="9" t="s">
        <v>1093</v>
      </c>
    </row>
    <row r="88" spans="1:22" ht="15" customHeight="1" x14ac:dyDescent="0.2">
      <c r="A88" s="9" t="s">
        <v>963</v>
      </c>
      <c r="B88" s="9">
        <v>6</v>
      </c>
      <c r="C88" s="9" t="s">
        <v>238</v>
      </c>
      <c r="D88" s="9" t="s">
        <v>251</v>
      </c>
      <c r="E88" s="9" t="s">
        <v>260</v>
      </c>
      <c r="F88" s="9" t="s">
        <v>720</v>
      </c>
      <c r="G88" s="9" t="s">
        <v>1071</v>
      </c>
      <c r="I88" s="10">
        <v>1</v>
      </c>
      <c r="J88" s="15">
        <v>48</v>
      </c>
      <c r="K88" s="15">
        <v>47</v>
      </c>
      <c r="L88" s="15">
        <v>13</v>
      </c>
      <c r="M88" s="15">
        <v>27.9</v>
      </c>
      <c r="N88" s="9">
        <f t="shared" si="8"/>
        <v>0.97916666666666663</v>
      </c>
      <c r="O88" s="9">
        <f t="shared" si="8"/>
        <v>0.27659574468085107</v>
      </c>
      <c r="P88" s="9" t="s">
        <v>1081</v>
      </c>
      <c r="Q88" s="9" t="s">
        <v>966</v>
      </c>
      <c r="R88" s="15">
        <v>25</v>
      </c>
      <c r="S88" s="15">
        <v>11</v>
      </c>
      <c r="T88" s="15">
        <v>100</v>
      </c>
      <c r="U88" s="9">
        <v>0</v>
      </c>
      <c r="V88" s="9" t="s">
        <v>721</v>
      </c>
    </row>
    <row r="89" spans="1:22" ht="15" customHeight="1" x14ac:dyDescent="0.2">
      <c r="A89" s="9" t="s">
        <v>964</v>
      </c>
      <c r="B89" s="9">
        <v>6</v>
      </c>
      <c r="C89" s="9" t="s">
        <v>238</v>
      </c>
      <c r="D89" s="9" t="s">
        <v>251</v>
      </c>
      <c r="E89" s="9" t="s">
        <v>262</v>
      </c>
      <c r="F89" s="9" t="s">
        <v>720</v>
      </c>
      <c r="G89" s="9" t="s">
        <v>1142</v>
      </c>
      <c r="I89" s="10">
        <v>0.4</v>
      </c>
      <c r="J89" s="15">
        <v>56</v>
      </c>
      <c r="K89" s="15">
        <v>56</v>
      </c>
      <c r="L89" s="15">
        <v>29</v>
      </c>
      <c r="M89" s="15">
        <v>86.8</v>
      </c>
      <c r="N89" s="9">
        <f t="shared" si="8"/>
        <v>1</v>
      </c>
      <c r="O89" s="9">
        <f t="shared" si="8"/>
        <v>0.5178571428571429</v>
      </c>
      <c r="P89" s="9" t="s">
        <v>1084</v>
      </c>
      <c r="Q89" s="9" t="s">
        <v>1067</v>
      </c>
      <c r="R89" s="15">
        <v>28</v>
      </c>
      <c r="S89" s="15">
        <v>12</v>
      </c>
      <c r="T89" s="15">
        <v>105</v>
      </c>
      <c r="U89" s="9">
        <v>1</v>
      </c>
      <c r="V89" s="9" t="s">
        <v>1103</v>
      </c>
    </row>
    <row r="90" spans="1:22" ht="15" customHeight="1" x14ac:dyDescent="0.2">
      <c r="A90" s="9" t="s">
        <v>975</v>
      </c>
      <c r="B90" s="9">
        <v>6</v>
      </c>
      <c r="C90" s="9" t="s">
        <v>238</v>
      </c>
      <c r="D90" s="9" t="s">
        <v>257</v>
      </c>
      <c r="E90" s="9" t="s">
        <v>261</v>
      </c>
      <c r="F90" s="9" t="s">
        <v>720</v>
      </c>
      <c r="G90" s="9" t="s">
        <v>1071</v>
      </c>
      <c r="I90" s="10">
        <v>1</v>
      </c>
      <c r="J90" s="15">
        <v>108</v>
      </c>
      <c r="K90" s="15">
        <v>75</v>
      </c>
      <c r="L90" s="15">
        <v>25</v>
      </c>
      <c r="M90" s="15">
        <v>185.4</v>
      </c>
      <c r="N90" s="9">
        <f t="shared" si="8"/>
        <v>0.69444444444444442</v>
      </c>
      <c r="O90" s="9">
        <f t="shared" si="8"/>
        <v>0.33333333333333331</v>
      </c>
      <c r="P90" s="9" t="s">
        <v>722</v>
      </c>
      <c r="Q90" s="9" t="s">
        <v>1085</v>
      </c>
      <c r="R90" s="15">
        <v>65.48</v>
      </c>
      <c r="S90" s="15">
        <v>27.38</v>
      </c>
      <c r="T90" s="15">
        <v>114</v>
      </c>
      <c r="U90" s="9">
        <v>0</v>
      </c>
      <c r="V90" s="9" t="s">
        <v>721</v>
      </c>
    </row>
    <row r="91" spans="1:22" ht="15" customHeight="1" x14ac:dyDescent="0.2">
      <c r="A91" s="9" t="s">
        <v>1020</v>
      </c>
      <c r="B91" s="9">
        <v>6</v>
      </c>
      <c r="C91" s="9" t="s">
        <v>238</v>
      </c>
      <c r="D91" s="9" t="s">
        <v>255</v>
      </c>
      <c r="E91" s="9" t="s">
        <v>261</v>
      </c>
      <c r="F91" s="9" t="s">
        <v>1061</v>
      </c>
      <c r="H91" s="9" t="s">
        <v>1064</v>
      </c>
      <c r="I91" s="10">
        <v>1</v>
      </c>
      <c r="J91" s="15">
        <v>158</v>
      </c>
      <c r="K91" s="15">
        <v>106</v>
      </c>
      <c r="L91" s="15">
        <v>47</v>
      </c>
      <c r="M91" s="15">
        <v>854.6</v>
      </c>
    </row>
    <row r="92" spans="1:22" ht="15" customHeight="1" x14ac:dyDescent="0.2">
      <c r="A92" s="9" t="s">
        <v>868</v>
      </c>
      <c r="B92" s="9">
        <v>7</v>
      </c>
      <c r="C92" s="9" t="s">
        <v>239</v>
      </c>
      <c r="D92" s="9" t="s">
        <v>251</v>
      </c>
      <c r="E92" s="9" t="s">
        <v>260</v>
      </c>
      <c r="F92" s="9" t="s">
        <v>720</v>
      </c>
      <c r="G92" s="9" t="s">
        <v>1071</v>
      </c>
      <c r="I92" s="10">
        <v>0.9</v>
      </c>
      <c r="J92" s="15">
        <v>53</v>
      </c>
      <c r="K92" s="15">
        <v>49</v>
      </c>
      <c r="L92" s="15">
        <v>13</v>
      </c>
      <c r="M92" s="15">
        <v>40.799999999999997</v>
      </c>
      <c r="N92" s="9">
        <f t="shared" ref="N92:N116" si="9">K92/J92</f>
        <v>0.92452830188679247</v>
      </c>
      <c r="O92" s="9">
        <f t="shared" ref="O92:O116" si="10">L92/K92</f>
        <v>0.26530612244897961</v>
      </c>
      <c r="P92" s="9" t="s">
        <v>1077</v>
      </c>
      <c r="Q92" s="9" t="s">
        <v>1067</v>
      </c>
      <c r="R92" s="15">
        <v>17</v>
      </c>
      <c r="S92" s="15">
        <v>3</v>
      </c>
      <c r="T92" s="15">
        <v>114</v>
      </c>
      <c r="U92" s="9">
        <v>0</v>
      </c>
      <c r="V92" s="9" t="s">
        <v>721</v>
      </c>
    </row>
    <row r="93" spans="1:22" ht="15" customHeight="1" x14ac:dyDescent="0.2">
      <c r="A93" s="9" t="s">
        <v>869</v>
      </c>
      <c r="B93" s="9">
        <v>7</v>
      </c>
      <c r="C93" s="9" t="s">
        <v>239</v>
      </c>
      <c r="D93" s="9" t="s">
        <v>251</v>
      </c>
      <c r="E93" s="9" t="s">
        <v>261</v>
      </c>
      <c r="F93" s="9" t="s">
        <v>720</v>
      </c>
      <c r="G93" s="9" t="s">
        <v>1144</v>
      </c>
      <c r="I93" s="10">
        <v>1</v>
      </c>
      <c r="J93" s="15">
        <v>71</v>
      </c>
      <c r="K93" s="15">
        <v>58</v>
      </c>
      <c r="L93" s="15">
        <v>27</v>
      </c>
      <c r="M93" s="15">
        <v>122.2</v>
      </c>
      <c r="N93" s="9">
        <f t="shared" si="9"/>
        <v>0.81690140845070425</v>
      </c>
      <c r="O93" s="9">
        <f t="shared" si="10"/>
        <v>0.46551724137931033</v>
      </c>
      <c r="P93" s="9" t="s">
        <v>722</v>
      </c>
      <c r="Q93" s="9" t="s">
        <v>1087</v>
      </c>
      <c r="U93" s="9">
        <v>0</v>
      </c>
      <c r="V93" s="9" t="s">
        <v>721</v>
      </c>
    </row>
    <row r="94" spans="1:22" ht="15" customHeight="1" x14ac:dyDescent="0.2">
      <c r="A94" s="9" t="s">
        <v>870</v>
      </c>
      <c r="B94" s="9">
        <v>7</v>
      </c>
      <c r="C94" s="9" t="s">
        <v>239</v>
      </c>
      <c r="D94" s="9" t="s">
        <v>251</v>
      </c>
      <c r="E94" s="9" t="s">
        <v>261</v>
      </c>
      <c r="F94" s="9" t="s">
        <v>720</v>
      </c>
      <c r="G94" s="9" t="s">
        <v>1076</v>
      </c>
      <c r="I94" s="10">
        <v>0.35</v>
      </c>
      <c r="J94" s="15">
        <v>83.19</v>
      </c>
      <c r="K94" s="15">
        <v>50.7</v>
      </c>
      <c r="L94" s="15">
        <v>25</v>
      </c>
      <c r="M94" s="15">
        <v>119.3</v>
      </c>
      <c r="N94" s="9">
        <f t="shared" si="9"/>
        <v>0.60944825099170574</v>
      </c>
      <c r="O94" s="9">
        <f t="shared" si="10"/>
        <v>0.49309664694280075</v>
      </c>
      <c r="P94" s="9" t="s">
        <v>1077</v>
      </c>
      <c r="Q94" s="9" t="s">
        <v>966</v>
      </c>
      <c r="R94" s="15">
        <v>41</v>
      </c>
      <c r="S94" s="15">
        <v>25</v>
      </c>
      <c r="T94" s="15">
        <v>103</v>
      </c>
      <c r="U94" s="9">
        <v>2</v>
      </c>
      <c r="V94" s="9" t="s">
        <v>1070</v>
      </c>
    </row>
    <row r="95" spans="1:22" ht="15" customHeight="1" x14ac:dyDescent="0.2">
      <c r="A95" s="9" t="s">
        <v>871</v>
      </c>
      <c r="B95" s="9">
        <v>7</v>
      </c>
      <c r="C95" s="9" t="s">
        <v>239</v>
      </c>
      <c r="D95" s="9" t="s">
        <v>252</v>
      </c>
      <c r="E95" s="9" t="s">
        <v>261</v>
      </c>
      <c r="F95" s="9" t="s">
        <v>720</v>
      </c>
      <c r="G95" s="9" t="s">
        <v>1071</v>
      </c>
      <c r="I95" s="10">
        <v>0.8</v>
      </c>
      <c r="J95" s="15">
        <v>59</v>
      </c>
      <c r="K95" s="15">
        <v>54</v>
      </c>
      <c r="L95" s="15">
        <v>28</v>
      </c>
      <c r="M95" s="15">
        <v>87.5</v>
      </c>
      <c r="N95" s="9">
        <f t="shared" si="9"/>
        <v>0.9152542372881356</v>
      </c>
      <c r="O95" s="9">
        <f t="shared" si="10"/>
        <v>0.51851851851851849</v>
      </c>
      <c r="P95" s="9" t="s">
        <v>722</v>
      </c>
      <c r="Q95" s="9" t="s">
        <v>966</v>
      </c>
      <c r="R95" s="15">
        <v>14</v>
      </c>
      <c r="S95" s="15">
        <v>3</v>
      </c>
      <c r="T95" s="15">
        <v>122</v>
      </c>
      <c r="U95" s="9">
        <v>2</v>
      </c>
      <c r="V95" s="9" t="s">
        <v>1078</v>
      </c>
    </row>
    <row r="96" spans="1:22" ht="15" customHeight="1" x14ac:dyDescent="0.2">
      <c r="A96" s="9" t="s">
        <v>872</v>
      </c>
      <c r="B96" s="9">
        <v>7</v>
      </c>
      <c r="C96" s="9" t="s">
        <v>236</v>
      </c>
      <c r="D96" s="9" t="s">
        <v>253</v>
      </c>
      <c r="E96" s="9" t="s">
        <v>262</v>
      </c>
      <c r="F96" s="9" t="s">
        <v>720</v>
      </c>
      <c r="G96" s="9" t="s">
        <v>1142</v>
      </c>
      <c r="I96" s="10">
        <v>0.6</v>
      </c>
      <c r="J96" s="15">
        <v>61</v>
      </c>
      <c r="K96" s="15">
        <v>52</v>
      </c>
      <c r="L96" s="15">
        <v>21</v>
      </c>
      <c r="M96" s="15">
        <v>75.3</v>
      </c>
      <c r="N96" s="9">
        <f t="shared" si="9"/>
        <v>0.85245901639344257</v>
      </c>
      <c r="O96" s="9">
        <f t="shared" si="10"/>
        <v>0.40384615384615385</v>
      </c>
      <c r="P96" s="9" t="s">
        <v>722</v>
      </c>
      <c r="Q96" s="9" t="s">
        <v>1067</v>
      </c>
      <c r="R96" s="15">
        <v>42</v>
      </c>
      <c r="S96" s="15">
        <v>20</v>
      </c>
      <c r="T96" s="15">
        <v>104</v>
      </c>
      <c r="U96" s="9">
        <v>1</v>
      </c>
      <c r="V96" s="9" t="s">
        <v>1070</v>
      </c>
    </row>
    <row r="97" spans="1:22" ht="15" customHeight="1" x14ac:dyDescent="0.2">
      <c r="A97" s="9" t="s">
        <v>873</v>
      </c>
      <c r="B97" s="9">
        <v>7</v>
      </c>
      <c r="C97" s="9" t="s">
        <v>239</v>
      </c>
      <c r="D97" s="9" t="s">
        <v>251</v>
      </c>
      <c r="E97" s="9" t="s">
        <v>260</v>
      </c>
      <c r="F97" s="9" t="s">
        <v>720</v>
      </c>
      <c r="G97" s="9" t="s">
        <v>1142</v>
      </c>
      <c r="I97" s="10">
        <v>0</v>
      </c>
      <c r="J97" s="15">
        <v>71</v>
      </c>
      <c r="K97" s="15">
        <v>68</v>
      </c>
      <c r="L97" s="15">
        <v>17</v>
      </c>
      <c r="M97" s="15">
        <v>90.4</v>
      </c>
      <c r="N97" s="9">
        <f t="shared" si="9"/>
        <v>0.95774647887323938</v>
      </c>
      <c r="O97" s="9">
        <f t="shared" si="10"/>
        <v>0.25</v>
      </c>
      <c r="P97" s="9" t="s">
        <v>1081</v>
      </c>
      <c r="Q97" s="9" t="s">
        <v>1067</v>
      </c>
      <c r="R97" s="15">
        <v>41</v>
      </c>
      <c r="S97" s="15">
        <v>11</v>
      </c>
      <c r="T97" s="15">
        <v>104</v>
      </c>
      <c r="U97" s="9">
        <v>2</v>
      </c>
      <c r="V97" s="9" t="s">
        <v>1070</v>
      </c>
    </row>
    <row r="98" spans="1:22" ht="15" customHeight="1" x14ac:dyDescent="0.2">
      <c r="A98" s="9" t="s">
        <v>332</v>
      </c>
      <c r="B98" s="9">
        <v>7</v>
      </c>
      <c r="C98" s="9" t="s">
        <v>239</v>
      </c>
      <c r="D98" s="9" t="s">
        <v>251</v>
      </c>
      <c r="E98" s="9" t="s">
        <v>261</v>
      </c>
      <c r="F98" s="9" t="s">
        <v>720</v>
      </c>
      <c r="G98" s="9" t="s">
        <v>1071</v>
      </c>
      <c r="I98" s="10">
        <v>1</v>
      </c>
      <c r="J98" s="15">
        <v>57</v>
      </c>
      <c r="K98" s="15">
        <v>49</v>
      </c>
      <c r="L98" s="15">
        <v>16</v>
      </c>
      <c r="M98" s="15">
        <v>48.4</v>
      </c>
      <c r="N98" s="9">
        <f t="shared" si="9"/>
        <v>0.85964912280701755</v>
      </c>
      <c r="O98" s="9">
        <f t="shared" si="10"/>
        <v>0.32653061224489793</v>
      </c>
      <c r="P98" s="9" t="s">
        <v>1084</v>
      </c>
      <c r="Q98" s="9" t="s">
        <v>966</v>
      </c>
      <c r="R98" s="15">
        <v>31</v>
      </c>
      <c r="S98" s="15">
        <v>17</v>
      </c>
      <c r="T98" s="15">
        <v>118</v>
      </c>
      <c r="U98" s="9">
        <v>0</v>
      </c>
      <c r="V98" s="9" t="s">
        <v>721</v>
      </c>
    </row>
    <row r="99" spans="1:22" ht="15" customHeight="1" x14ac:dyDescent="0.2">
      <c r="A99" s="9" t="s">
        <v>876</v>
      </c>
      <c r="B99" s="9">
        <v>7</v>
      </c>
      <c r="C99" s="9" t="s">
        <v>236</v>
      </c>
      <c r="D99" s="9" t="s">
        <v>254</v>
      </c>
      <c r="E99" s="9" t="s">
        <v>262</v>
      </c>
      <c r="F99" s="9" t="s">
        <v>720</v>
      </c>
      <c r="G99" s="9" t="s">
        <v>1071</v>
      </c>
      <c r="I99" s="10">
        <v>1</v>
      </c>
      <c r="J99" s="15">
        <v>83</v>
      </c>
      <c r="K99" s="15">
        <v>43</v>
      </c>
      <c r="L99" s="15">
        <v>25</v>
      </c>
      <c r="M99" s="15">
        <v>90</v>
      </c>
      <c r="N99" s="9">
        <f t="shared" si="9"/>
        <v>0.51807228915662651</v>
      </c>
      <c r="O99" s="9">
        <f t="shared" si="10"/>
        <v>0.58139534883720934</v>
      </c>
      <c r="P99" s="9" t="s">
        <v>1084</v>
      </c>
      <c r="Q99" s="9" t="s">
        <v>1067</v>
      </c>
      <c r="R99" s="15">
        <v>36</v>
      </c>
      <c r="S99" s="15">
        <v>18</v>
      </c>
      <c r="T99" s="15">
        <v>99</v>
      </c>
      <c r="U99" s="9">
        <v>0</v>
      </c>
      <c r="V99" s="9" t="s">
        <v>721</v>
      </c>
    </row>
    <row r="100" spans="1:22" ht="15" customHeight="1" x14ac:dyDescent="0.2">
      <c r="A100" s="9" t="s">
        <v>877</v>
      </c>
      <c r="B100" s="9">
        <v>7</v>
      </c>
      <c r="C100" s="9" t="s">
        <v>239</v>
      </c>
      <c r="D100" s="9" t="s">
        <v>251</v>
      </c>
      <c r="E100" s="9" t="s">
        <v>261</v>
      </c>
      <c r="F100" s="9" t="s">
        <v>720</v>
      </c>
      <c r="G100" s="9" t="s">
        <v>1071</v>
      </c>
      <c r="I100" s="10">
        <v>1</v>
      </c>
      <c r="J100" s="15">
        <v>63</v>
      </c>
      <c r="K100" s="15">
        <v>56</v>
      </c>
      <c r="L100" s="15">
        <v>15</v>
      </c>
      <c r="M100" s="15">
        <v>72.099999999999994</v>
      </c>
      <c r="N100" s="9">
        <f t="shared" si="9"/>
        <v>0.88888888888888884</v>
      </c>
      <c r="O100" s="9">
        <f t="shared" si="10"/>
        <v>0.26785714285714285</v>
      </c>
      <c r="P100" s="9" t="s">
        <v>1084</v>
      </c>
      <c r="Q100" s="9" t="s">
        <v>966</v>
      </c>
      <c r="R100" s="15">
        <v>42</v>
      </c>
      <c r="S100" s="15">
        <v>10</v>
      </c>
      <c r="T100" s="15">
        <v>100</v>
      </c>
      <c r="U100" s="9">
        <v>0</v>
      </c>
      <c r="V100" s="9" t="s">
        <v>721</v>
      </c>
    </row>
    <row r="101" spans="1:22" ht="15" customHeight="1" x14ac:dyDescent="0.2">
      <c r="A101" s="9" t="s">
        <v>878</v>
      </c>
      <c r="B101" s="9">
        <v>7</v>
      </c>
      <c r="C101" s="9" t="s">
        <v>240</v>
      </c>
      <c r="D101" s="9" t="s">
        <v>251</v>
      </c>
      <c r="E101" s="9" t="s">
        <v>261</v>
      </c>
      <c r="F101" s="9" t="s">
        <v>720</v>
      </c>
      <c r="G101" s="9" t="s">
        <v>1071</v>
      </c>
      <c r="I101" s="10">
        <v>1</v>
      </c>
      <c r="J101" s="15">
        <v>65</v>
      </c>
      <c r="K101" s="15">
        <v>55</v>
      </c>
      <c r="L101" s="15">
        <v>23</v>
      </c>
      <c r="M101" s="15">
        <v>89.9</v>
      </c>
      <c r="N101" s="9">
        <f t="shared" si="9"/>
        <v>0.84615384615384615</v>
      </c>
      <c r="O101" s="9">
        <f t="shared" si="10"/>
        <v>0.41818181818181815</v>
      </c>
      <c r="P101" s="9" t="s">
        <v>1084</v>
      </c>
      <c r="Q101" s="9" t="s">
        <v>1067</v>
      </c>
      <c r="R101" s="15">
        <v>38</v>
      </c>
      <c r="S101" s="15">
        <v>18</v>
      </c>
      <c r="T101" s="15">
        <v>120</v>
      </c>
      <c r="U101" s="9">
        <v>0</v>
      </c>
      <c r="V101" s="9" t="s">
        <v>721</v>
      </c>
    </row>
    <row r="102" spans="1:22" ht="15" customHeight="1" x14ac:dyDescent="0.2">
      <c r="A102" s="9" t="s">
        <v>879</v>
      </c>
      <c r="B102" s="9">
        <v>7</v>
      </c>
      <c r="C102" s="9" t="s">
        <v>240</v>
      </c>
      <c r="D102" s="9" t="s">
        <v>251</v>
      </c>
      <c r="E102" s="9" t="s">
        <v>261</v>
      </c>
      <c r="F102" s="9" t="s">
        <v>720</v>
      </c>
      <c r="G102" s="9" t="s">
        <v>1071</v>
      </c>
      <c r="I102" s="10">
        <v>1</v>
      </c>
      <c r="J102" s="15">
        <v>65</v>
      </c>
      <c r="K102" s="15">
        <v>48</v>
      </c>
      <c r="L102" s="15">
        <v>30</v>
      </c>
      <c r="M102" s="15">
        <v>105</v>
      </c>
      <c r="N102" s="9">
        <f t="shared" si="9"/>
        <v>0.7384615384615385</v>
      </c>
      <c r="O102" s="9">
        <f t="shared" si="10"/>
        <v>0.625</v>
      </c>
      <c r="P102" s="9" t="s">
        <v>1084</v>
      </c>
      <c r="Q102" s="9" t="s">
        <v>1067</v>
      </c>
      <c r="R102" s="15">
        <v>36</v>
      </c>
      <c r="S102" s="15">
        <v>30</v>
      </c>
      <c r="T102" s="15">
        <v>118</v>
      </c>
      <c r="U102" s="9">
        <v>0</v>
      </c>
      <c r="V102" s="9" t="s">
        <v>721</v>
      </c>
    </row>
    <row r="103" spans="1:22" ht="15" customHeight="1" x14ac:dyDescent="0.2">
      <c r="A103" s="9" t="s">
        <v>882</v>
      </c>
      <c r="B103" s="9">
        <v>7</v>
      </c>
      <c r="C103" s="9" t="s">
        <v>240</v>
      </c>
      <c r="D103" s="9" t="s">
        <v>251</v>
      </c>
      <c r="E103" s="9" t="s">
        <v>260</v>
      </c>
      <c r="F103" s="9" t="s">
        <v>720</v>
      </c>
      <c r="G103" s="9" t="s">
        <v>1071</v>
      </c>
      <c r="I103" s="10">
        <v>0.9</v>
      </c>
      <c r="J103" s="15">
        <v>71</v>
      </c>
      <c r="K103" s="15">
        <v>60</v>
      </c>
      <c r="L103" s="15">
        <v>25</v>
      </c>
      <c r="M103" s="15">
        <v>110.9</v>
      </c>
      <c r="N103" s="9">
        <f t="shared" si="9"/>
        <v>0.84507042253521125</v>
      </c>
      <c r="O103" s="9">
        <f t="shared" si="10"/>
        <v>0.41666666666666669</v>
      </c>
      <c r="P103" s="9" t="s">
        <v>1081</v>
      </c>
      <c r="Q103" s="9" t="s">
        <v>1067</v>
      </c>
      <c r="R103" s="15">
        <v>36</v>
      </c>
      <c r="S103" s="15">
        <v>15</v>
      </c>
      <c r="T103" s="15">
        <v>127</v>
      </c>
      <c r="U103" s="9">
        <v>0</v>
      </c>
      <c r="V103" s="9" t="s">
        <v>721</v>
      </c>
    </row>
    <row r="104" spans="1:22" ht="15" customHeight="1" x14ac:dyDescent="0.2">
      <c r="A104" s="9" t="s">
        <v>883</v>
      </c>
      <c r="B104" s="9">
        <v>7</v>
      </c>
      <c r="C104" s="9" t="s">
        <v>240</v>
      </c>
      <c r="D104" s="9" t="s">
        <v>251</v>
      </c>
      <c r="E104" s="9" t="s">
        <v>261</v>
      </c>
      <c r="F104" s="9" t="s">
        <v>720</v>
      </c>
      <c r="G104" s="9" t="s">
        <v>1071</v>
      </c>
      <c r="I104" s="10">
        <v>0.75</v>
      </c>
      <c r="J104" s="15">
        <v>46</v>
      </c>
      <c r="K104" s="15">
        <v>42</v>
      </c>
      <c r="L104" s="15">
        <v>18</v>
      </c>
      <c r="M104" s="15">
        <v>41.4</v>
      </c>
      <c r="N104" s="9">
        <f t="shared" si="9"/>
        <v>0.91304347826086951</v>
      </c>
      <c r="O104" s="9">
        <f t="shared" si="10"/>
        <v>0.42857142857142855</v>
      </c>
      <c r="P104" s="9" t="s">
        <v>722</v>
      </c>
      <c r="Q104" s="9" t="s">
        <v>966</v>
      </c>
      <c r="R104" s="15">
        <v>30</v>
      </c>
      <c r="S104" s="15">
        <v>12</v>
      </c>
      <c r="T104" s="15">
        <v>109</v>
      </c>
      <c r="U104" s="9">
        <v>1</v>
      </c>
      <c r="V104" s="9" t="s">
        <v>1070</v>
      </c>
    </row>
    <row r="105" spans="1:22" ht="15" customHeight="1" x14ac:dyDescent="0.2">
      <c r="A105" s="9" t="s">
        <v>884</v>
      </c>
      <c r="B105" s="9">
        <v>7</v>
      </c>
      <c r="C105" s="9" t="s">
        <v>240</v>
      </c>
      <c r="D105" s="9" t="s">
        <v>257</v>
      </c>
      <c r="E105" s="9" t="s">
        <v>708</v>
      </c>
      <c r="F105" s="9" t="s">
        <v>720</v>
      </c>
      <c r="G105" s="9" t="s">
        <v>1144</v>
      </c>
      <c r="I105" s="10">
        <v>1</v>
      </c>
      <c r="J105" s="15">
        <v>83</v>
      </c>
      <c r="K105" s="15">
        <v>71</v>
      </c>
      <c r="L105" s="15">
        <v>23</v>
      </c>
      <c r="M105" s="15">
        <v>160.19999999999999</v>
      </c>
      <c r="N105" s="9">
        <f t="shared" si="9"/>
        <v>0.85542168674698793</v>
      </c>
      <c r="O105" s="9">
        <f t="shared" si="10"/>
        <v>0.323943661971831</v>
      </c>
      <c r="P105" s="9" t="s">
        <v>1084</v>
      </c>
      <c r="Q105" s="9" t="s">
        <v>723</v>
      </c>
      <c r="U105" s="9">
        <v>0</v>
      </c>
      <c r="V105" s="9" t="s">
        <v>721</v>
      </c>
    </row>
    <row r="106" spans="1:22" ht="15" customHeight="1" x14ac:dyDescent="0.2">
      <c r="A106" s="9" t="s">
        <v>885</v>
      </c>
      <c r="B106" s="9">
        <v>7</v>
      </c>
      <c r="C106" s="9" t="s">
        <v>240</v>
      </c>
      <c r="D106" s="9" t="s">
        <v>251</v>
      </c>
      <c r="E106" s="9" t="s">
        <v>261</v>
      </c>
      <c r="F106" s="9" t="s">
        <v>720</v>
      </c>
      <c r="G106" s="9" t="s">
        <v>1071</v>
      </c>
      <c r="I106" s="10">
        <v>0.95</v>
      </c>
      <c r="J106" s="15">
        <v>86</v>
      </c>
      <c r="K106" s="15">
        <v>65</v>
      </c>
      <c r="L106" s="15">
        <v>20</v>
      </c>
      <c r="M106" s="15">
        <v>126.8</v>
      </c>
      <c r="N106" s="9">
        <f t="shared" si="9"/>
        <v>0.7558139534883721</v>
      </c>
      <c r="O106" s="9">
        <f t="shared" si="10"/>
        <v>0.30769230769230771</v>
      </c>
      <c r="P106" s="9" t="s">
        <v>722</v>
      </c>
      <c r="Q106" s="9" t="s">
        <v>1066</v>
      </c>
      <c r="R106" s="15">
        <v>45</v>
      </c>
      <c r="S106" s="15">
        <v>16</v>
      </c>
      <c r="T106" s="15">
        <v>110</v>
      </c>
      <c r="U106" s="9">
        <v>1</v>
      </c>
      <c r="V106" s="9" t="s">
        <v>1100</v>
      </c>
    </row>
    <row r="107" spans="1:22" ht="15" customHeight="1" x14ac:dyDescent="0.2">
      <c r="A107" s="9" t="s">
        <v>886</v>
      </c>
      <c r="B107" s="9">
        <v>7</v>
      </c>
      <c r="C107" s="9" t="s">
        <v>240</v>
      </c>
      <c r="D107" s="9" t="s">
        <v>251</v>
      </c>
      <c r="E107" s="9" t="s">
        <v>261</v>
      </c>
      <c r="F107" s="9" t="s">
        <v>720</v>
      </c>
      <c r="G107" s="9" t="s">
        <v>1071</v>
      </c>
      <c r="I107" s="10">
        <v>0.8</v>
      </c>
      <c r="J107" s="15">
        <v>56</v>
      </c>
      <c r="K107" s="15">
        <v>55</v>
      </c>
      <c r="L107" s="15">
        <v>18</v>
      </c>
      <c r="M107" s="15">
        <v>66.099999999999994</v>
      </c>
      <c r="N107" s="9">
        <f t="shared" si="9"/>
        <v>0.9821428571428571</v>
      </c>
      <c r="O107" s="9">
        <f t="shared" si="10"/>
        <v>0.32727272727272727</v>
      </c>
      <c r="P107" s="9" t="s">
        <v>722</v>
      </c>
      <c r="Q107" s="9" t="s">
        <v>966</v>
      </c>
      <c r="R107" s="15">
        <v>48</v>
      </c>
      <c r="S107" s="15">
        <v>17</v>
      </c>
      <c r="T107" s="15">
        <v>95</v>
      </c>
      <c r="U107" s="9">
        <v>1</v>
      </c>
      <c r="V107" s="9" t="s">
        <v>1070</v>
      </c>
    </row>
    <row r="108" spans="1:22" ht="15" customHeight="1" x14ac:dyDescent="0.2">
      <c r="A108" s="9" t="s">
        <v>887</v>
      </c>
      <c r="B108" s="9">
        <v>7</v>
      </c>
      <c r="C108" s="9" t="s">
        <v>240</v>
      </c>
      <c r="D108" s="9" t="s">
        <v>251</v>
      </c>
      <c r="E108" s="9" t="s">
        <v>261</v>
      </c>
      <c r="F108" s="9" t="s">
        <v>720</v>
      </c>
      <c r="G108" s="9" t="s">
        <v>1143</v>
      </c>
      <c r="I108" s="10">
        <v>0.6</v>
      </c>
      <c r="J108" s="15">
        <v>59</v>
      </c>
      <c r="K108" s="15">
        <v>54</v>
      </c>
      <c r="L108" s="15">
        <v>26</v>
      </c>
      <c r="M108" s="15">
        <v>87</v>
      </c>
      <c r="N108" s="9">
        <f t="shared" si="9"/>
        <v>0.9152542372881356</v>
      </c>
      <c r="O108" s="9">
        <f t="shared" si="10"/>
        <v>0.48148148148148145</v>
      </c>
      <c r="P108" s="9" t="s">
        <v>1081</v>
      </c>
      <c r="Q108" s="9" t="s">
        <v>723</v>
      </c>
      <c r="U108" s="9">
        <v>3</v>
      </c>
      <c r="V108" s="9" t="s">
        <v>1082</v>
      </c>
    </row>
    <row r="109" spans="1:22" ht="15" customHeight="1" x14ac:dyDescent="0.2">
      <c r="A109" s="9" t="s">
        <v>1092</v>
      </c>
      <c r="B109" s="9">
        <v>7</v>
      </c>
      <c r="C109" s="9" t="s">
        <v>240</v>
      </c>
      <c r="D109" s="9" t="s">
        <v>251</v>
      </c>
      <c r="E109" s="9" t="s">
        <v>260</v>
      </c>
      <c r="F109" s="9" t="s">
        <v>720</v>
      </c>
      <c r="G109" s="9" t="s">
        <v>1143</v>
      </c>
      <c r="I109" s="10">
        <v>0.2</v>
      </c>
      <c r="J109" s="15">
        <v>85</v>
      </c>
      <c r="K109" s="15">
        <v>59</v>
      </c>
      <c r="L109" s="15">
        <v>27</v>
      </c>
      <c r="M109" s="15">
        <v>107.5</v>
      </c>
      <c r="N109" s="9">
        <f t="shared" si="9"/>
        <v>0.69411764705882351</v>
      </c>
      <c r="O109" s="9">
        <f t="shared" si="10"/>
        <v>0.4576271186440678</v>
      </c>
      <c r="P109" s="9" t="s">
        <v>722</v>
      </c>
      <c r="Q109" s="9" t="s">
        <v>966</v>
      </c>
      <c r="R109" s="15">
        <v>48</v>
      </c>
      <c r="S109" s="15">
        <v>25</v>
      </c>
      <c r="T109" s="15">
        <v>122</v>
      </c>
      <c r="U109" s="9">
        <v>3</v>
      </c>
      <c r="V109" s="9" t="s">
        <v>1082</v>
      </c>
    </row>
    <row r="110" spans="1:22" ht="15" customHeight="1" x14ac:dyDescent="0.2">
      <c r="A110" s="9" t="s">
        <v>888</v>
      </c>
      <c r="B110" s="9">
        <v>7</v>
      </c>
      <c r="C110" s="9" t="s">
        <v>240</v>
      </c>
      <c r="D110" s="9" t="s">
        <v>251</v>
      </c>
      <c r="E110" s="9" t="s">
        <v>260</v>
      </c>
      <c r="F110" s="9" t="s">
        <v>720</v>
      </c>
      <c r="G110" s="9" t="s">
        <v>1071</v>
      </c>
      <c r="I110" s="10">
        <v>0.6</v>
      </c>
      <c r="J110" s="15">
        <v>66</v>
      </c>
      <c r="K110" s="15">
        <v>65</v>
      </c>
      <c r="L110" s="15">
        <v>31</v>
      </c>
      <c r="M110" s="15">
        <v>136.9</v>
      </c>
      <c r="N110" s="9">
        <f t="shared" si="9"/>
        <v>0.98484848484848486</v>
      </c>
      <c r="O110" s="9">
        <f t="shared" si="10"/>
        <v>0.47692307692307695</v>
      </c>
      <c r="P110" s="9" t="s">
        <v>1081</v>
      </c>
      <c r="Q110" s="9" t="s">
        <v>966</v>
      </c>
      <c r="R110" s="15">
        <v>48</v>
      </c>
      <c r="S110" s="15">
        <v>25</v>
      </c>
      <c r="T110" s="15">
        <v>109</v>
      </c>
      <c r="U110" s="9">
        <v>1</v>
      </c>
      <c r="V110" s="9" t="s">
        <v>1070</v>
      </c>
    </row>
    <row r="111" spans="1:22" ht="15" customHeight="1" x14ac:dyDescent="0.2">
      <c r="A111" s="9" t="s">
        <v>890</v>
      </c>
      <c r="B111" s="9">
        <v>7</v>
      </c>
      <c r="C111" s="9" t="s">
        <v>240</v>
      </c>
      <c r="D111" s="9" t="s">
        <v>251</v>
      </c>
      <c r="E111" s="9" t="s">
        <v>261</v>
      </c>
      <c r="F111" s="9" t="s">
        <v>720</v>
      </c>
      <c r="G111" s="9" t="s">
        <v>1143</v>
      </c>
      <c r="I111" s="10">
        <v>0.5</v>
      </c>
      <c r="J111" s="15">
        <v>55</v>
      </c>
      <c r="K111" s="15">
        <v>52</v>
      </c>
      <c r="L111" s="15">
        <v>23</v>
      </c>
      <c r="M111" s="15">
        <v>73.5</v>
      </c>
      <c r="N111" s="9">
        <f t="shared" si="9"/>
        <v>0.94545454545454544</v>
      </c>
      <c r="O111" s="9">
        <f t="shared" si="10"/>
        <v>0.44230769230769229</v>
      </c>
      <c r="P111" s="9" t="s">
        <v>722</v>
      </c>
      <c r="Q111" s="9" t="s">
        <v>1067</v>
      </c>
      <c r="R111" s="15">
        <v>23</v>
      </c>
      <c r="S111" s="15">
        <v>11</v>
      </c>
      <c r="T111" s="15">
        <v>114</v>
      </c>
      <c r="U111" s="9">
        <v>3</v>
      </c>
      <c r="V111" s="9" t="s">
        <v>1082</v>
      </c>
    </row>
    <row r="112" spans="1:22" ht="15" customHeight="1" x14ac:dyDescent="0.2">
      <c r="A112" s="9" t="s">
        <v>76</v>
      </c>
      <c r="B112" s="9">
        <v>7</v>
      </c>
      <c r="C112" s="9" t="s">
        <v>240</v>
      </c>
      <c r="D112" s="9" t="s">
        <v>251</v>
      </c>
      <c r="E112" s="9" t="s">
        <v>260</v>
      </c>
      <c r="F112" s="9" t="s">
        <v>720</v>
      </c>
      <c r="G112" s="9" t="s">
        <v>1071</v>
      </c>
      <c r="I112" s="10">
        <v>1</v>
      </c>
      <c r="J112" s="15">
        <v>61</v>
      </c>
      <c r="K112" s="15">
        <v>55</v>
      </c>
      <c r="L112" s="15">
        <v>15</v>
      </c>
      <c r="M112" s="15">
        <v>65.099999999999994</v>
      </c>
      <c r="N112" s="9">
        <f t="shared" si="9"/>
        <v>0.90163934426229508</v>
      </c>
      <c r="O112" s="9">
        <f t="shared" si="10"/>
        <v>0.27272727272727271</v>
      </c>
      <c r="P112" s="9" t="s">
        <v>722</v>
      </c>
      <c r="Q112" s="9" t="s">
        <v>966</v>
      </c>
      <c r="R112" s="15">
        <v>48</v>
      </c>
      <c r="S112" s="15">
        <v>10</v>
      </c>
      <c r="T112" s="15">
        <v>95</v>
      </c>
      <c r="U112" s="9">
        <v>0</v>
      </c>
      <c r="V112" s="9" t="s">
        <v>721</v>
      </c>
    </row>
    <row r="113" spans="1:22" ht="15" customHeight="1" x14ac:dyDescent="0.2">
      <c r="A113" s="9" t="s">
        <v>922</v>
      </c>
      <c r="B113" s="9">
        <v>7</v>
      </c>
      <c r="C113" s="9" t="s">
        <v>239</v>
      </c>
      <c r="D113" s="9" t="s">
        <v>251</v>
      </c>
      <c r="E113" s="9" t="s">
        <v>261</v>
      </c>
      <c r="F113" s="9" t="s">
        <v>720</v>
      </c>
      <c r="G113" s="9" t="s">
        <v>1143</v>
      </c>
      <c r="I113" s="10">
        <v>0.6</v>
      </c>
      <c r="J113" s="15">
        <v>58</v>
      </c>
      <c r="K113" s="15">
        <v>53</v>
      </c>
      <c r="L113" s="15">
        <v>25</v>
      </c>
      <c r="M113" s="15">
        <v>73.5</v>
      </c>
      <c r="N113" s="9">
        <f t="shared" si="9"/>
        <v>0.91379310344827591</v>
      </c>
      <c r="O113" s="9">
        <f t="shared" si="10"/>
        <v>0.47169811320754718</v>
      </c>
      <c r="P113" s="9" t="s">
        <v>722</v>
      </c>
      <c r="Q113" s="9" t="s">
        <v>966</v>
      </c>
      <c r="R113" s="15">
        <v>34</v>
      </c>
      <c r="S113" s="15">
        <v>17</v>
      </c>
      <c r="T113" s="15">
        <v>120</v>
      </c>
      <c r="U113" s="9">
        <v>2</v>
      </c>
      <c r="V113" s="9" t="s">
        <v>1079</v>
      </c>
    </row>
    <row r="114" spans="1:22" ht="15" customHeight="1" x14ac:dyDescent="0.2">
      <c r="A114" s="9" t="s">
        <v>923</v>
      </c>
      <c r="B114" s="9">
        <v>7</v>
      </c>
      <c r="C114" s="9" t="s">
        <v>240</v>
      </c>
      <c r="D114" s="9" t="s">
        <v>251</v>
      </c>
      <c r="E114" s="9" t="s">
        <v>261</v>
      </c>
      <c r="F114" s="9" t="s">
        <v>720</v>
      </c>
      <c r="G114" s="9" t="s">
        <v>1071</v>
      </c>
      <c r="I114" s="10">
        <v>0.95</v>
      </c>
      <c r="J114" s="15">
        <v>95</v>
      </c>
      <c r="K114" s="15">
        <v>52</v>
      </c>
      <c r="L114" s="15">
        <v>23</v>
      </c>
      <c r="M114" s="15">
        <v>133.6</v>
      </c>
      <c r="N114" s="9">
        <f t="shared" si="9"/>
        <v>0.54736842105263162</v>
      </c>
      <c r="O114" s="9">
        <f t="shared" si="10"/>
        <v>0.44230769230769229</v>
      </c>
      <c r="P114" s="9" t="s">
        <v>1077</v>
      </c>
      <c r="Q114" s="9" t="s">
        <v>966</v>
      </c>
      <c r="R114" s="15">
        <v>42</v>
      </c>
      <c r="S114" s="15">
        <v>20</v>
      </c>
      <c r="T114" s="15">
        <v>103</v>
      </c>
      <c r="U114" s="9">
        <v>1</v>
      </c>
      <c r="V114" s="9" t="s">
        <v>1103</v>
      </c>
    </row>
    <row r="115" spans="1:22" ht="15" customHeight="1" x14ac:dyDescent="0.2">
      <c r="A115" s="9" t="s">
        <v>924</v>
      </c>
      <c r="B115" s="9">
        <v>7</v>
      </c>
      <c r="C115" s="9" t="s">
        <v>240</v>
      </c>
      <c r="D115" s="9" t="s">
        <v>251</v>
      </c>
      <c r="E115" s="9" t="s">
        <v>261</v>
      </c>
      <c r="F115" s="9" t="s">
        <v>720</v>
      </c>
      <c r="G115" s="9" t="s">
        <v>1143</v>
      </c>
      <c r="I115" s="10">
        <v>0.4</v>
      </c>
      <c r="J115" s="15">
        <v>79</v>
      </c>
      <c r="K115" s="15">
        <v>71</v>
      </c>
      <c r="L115" s="15">
        <v>39</v>
      </c>
      <c r="M115" s="15">
        <v>199.2</v>
      </c>
      <c r="N115" s="9">
        <f t="shared" si="9"/>
        <v>0.89873417721518989</v>
      </c>
      <c r="O115" s="9">
        <f t="shared" si="10"/>
        <v>0.54929577464788737</v>
      </c>
      <c r="P115" s="9" t="s">
        <v>1077</v>
      </c>
      <c r="Q115" s="9" t="s">
        <v>1067</v>
      </c>
      <c r="R115" s="15">
        <v>40</v>
      </c>
      <c r="S115" s="15">
        <v>26</v>
      </c>
      <c r="T115" s="15">
        <v>114</v>
      </c>
      <c r="U115" s="9">
        <v>3</v>
      </c>
      <c r="V115" s="9" t="s">
        <v>1082</v>
      </c>
    </row>
    <row r="116" spans="1:22" ht="15" customHeight="1" x14ac:dyDescent="0.2">
      <c r="A116" s="9" t="s">
        <v>925</v>
      </c>
      <c r="B116" s="9">
        <v>7</v>
      </c>
      <c r="C116" s="9" t="s">
        <v>240</v>
      </c>
      <c r="D116" s="9" t="s">
        <v>251</v>
      </c>
      <c r="E116" s="9" t="s">
        <v>263</v>
      </c>
      <c r="F116" s="9" t="s">
        <v>720</v>
      </c>
      <c r="G116" s="9" t="s">
        <v>1071</v>
      </c>
      <c r="I116" s="10">
        <v>1</v>
      </c>
      <c r="J116" s="15">
        <v>64</v>
      </c>
      <c r="K116" s="15">
        <v>45</v>
      </c>
      <c r="L116" s="15">
        <v>19</v>
      </c>
      <c r="M116" s="15">
        <v>47.3</v>
      </c>
      <c r="N116" s="9">
        <f t="shared" si="9"/>
        <v>0.703125</v>
      </c>
      <c r="O116" s="9">
        <f t="shared" si="10"/>
        <v>0.42222222222222222</v>
      </c>
      <c r="P116" s="9" t="s">
        <v>1084</v>
      </c>
      <c r="Q116" s="9" t="s">
        <v>1067</v>
      </c>
      <c r="R116" s="15">
        <v>15</v>
      </c>
      <c r="S116" s="15">
        <v>8</v>
      </c>
      <c r="T116" s="15">
        <v>122</v>
      </c>
      <c r="U116" s="9">
        <v>0</v>
      </c>
      <c r="V116" s="9" t="s">
        <v>721</v>
      </c>
    </row>
    <row r="117" spans="1:22" ht="15" customHeight="1" x14ac:dyDescent="0.2">
      <c r="A117" s="9" t="s">
        <v>926</v>
      </c>
      <c r="B117" s="9">
        <v>7</v>
      </c>
      <c r="C117" s="9" t="s">
        <v>240</v>
      </c>
      <c r="D117" s="9" t="s">
        <v>251</v>
      </c>
      <c r="E117" s="9" t="s">
        <v>261</v>
      </c>
      <c r="F117" s="9" t="s">
        <v>1061</v>
      </c>
      <c r="H117" s="9" t="s">
        <v>1094</v>
      </c>
      <c r="I117" s="10">
        <v>1</v>
      </c>
      <c r="J117" s="15">
        <v>60</v>
      </c>
      <c r="K117" s="15">
        <v>41</v>
      </c>
      <c r="L117" s="15">
        <v>35</v>
      </c>
      <c r="M117" s="15">
        <v>82.1</v>
      </c>
    </row>
    <row r="118" spans="1:22" ht="15" customHeight="1" x14ac:dyDescent="0.2">
      <c r="A118" s="9" t="s">
        <v>927</v>
      </c>
      <c r="B118" s="9">
        <v>7</v>
      </c>
      <c r="C118" s="9" t="s">
        <v>240</v>
      </c>
      <c r="D118" s="9" t="s">
        <v>251</v>
      </c>
      <c r="E118" s="9" t="s">
        <v>261</v>
      </c>
      <c r="F118" s="9" t="s">
        <v>720</v>
      </c>
      <c r="G118" s="9" t="s">
        <v>1071</v>
      </c>
      <c r="I118" s="10">
        <v>1</v>
      </c>
      <c r="J118" s="15">
        <v>60</v>
      </c>
      <c r="K118" s="15">
        <v>48</v>
      </c>
      <c r="L118" s="15">
        <v>22</v>
      </c>
      <c r="M118" s="15">
        <v>70.599999999999994</v>
      </c>
      <c r="N118" s="9">
        <f>K118/J118</f>
        <v>0.8</v>
      </c>
      <c r="O118" s="9">
        <f>L118/K118</f>
        <v>0.45833333333333331</v>
      </c>
      <c r="P118" s="9" t="s">
        <v>1081</v>
      </c>
      <c r="Q118" s="9" t="s">
        <v>966</v>
      </c>
      <c r="R118" s="15">
        <v>28</v>
      </c>
      <c r="S118" s="15">
        <v>16</v>
      </c>
      <c r="T118" s="15">
        <v>122</v>
      </c>
      <c r="U118" s="9">
        <v>0</v>
      </c>
      <c r="V118" s="9" t="s">
        <v>721</v>
      </c>
    </row>
    <row r="119" spans="1:22" ht="15" customHeight="1" x14ac:dyDescent="0.2">
      <c r="A119" s="9" t="s">
        <v>928</v>
      </c>
      <c r="B119" s="9">
        <v>7</v>
      </c>
      <c r="C119" s="9" t="s">
        <v>249</v>
      </c>
      <c r="D119" s="9" t="s">
        <v>251</v>
      </c>
      <c r="E119" s="9" t="s">
        <v>261</v>
      </c>
      <c r="F119" s="9" t="s">
        <v>720</v>
      </c>
      <c r="G119" s="9" t="s">
        <v>1071</v>
      </c>
      <c r="I119" s="10">
        <v>1</v>
      </c>
      <c r="J119" s="15">
        <v>55</v>
      </c>
      <c r="K119" s="15">
        <v>46</v>
      </c>
      <c r="L119" s="15">
        <v>25</v>
      </c>
      <c r="M119" s="15">
        <v>57.5</v>
      </c>
      <c r="N119" s="9">
        <f>K119/J119</f>
        <v>0.83636363636363631</v>
      </c>
      <c r="O119" s="9">
        <f>L119/K119</f>
        <v>0.54347826086956519</v>
      </c>
      <c r="P119" s="9" t="s">
        <v>1081</v>
      </c>
      <c r="Q119" s="9" t="s">
        <v>966</v>
      </c>
      <c r="R119" s="15">
        <v>55</v>
      </c>
      <c r="S119" s="15">
        <v>25</v>
      </c>
      <c r="T119" s="15">
        <v>112</v>
      </c>
      <c r="U119" s="9">
        <v>0</v>
      </c>
      <c r="V119" s="9" t="s">
        <v>721</v>
      </c>
    </row>
    <row r="120" spans="1:22" ht="15" customHeight="1" x14ac:dyDescent="0.2">
      <c r="A120" s="9" t="s">
        <v>929</v>
      </c>
      <c r="B120" s="9">
        <v>7</v>
      </c>
      <c r="C120" s="9" t="s">
        <v>249</v>
      </c>
      <c r="D120" s="9" t="s">
        <v>251</v>
      </c>
      <c r="E120" s="9" t="s">
        <v>260</v>
      </c>
      <c r="F120" s="9" t="s">
        <v>1061</v>
      </c>
      <c r="H120" s="9" t="s">
        <v>1094</v>
      </c>
      <c r="I120" s="10">
        <v>0</v>
      </c>
      <c r="J120" s="15">
        <v>40</v>
      </c>
      <c r="K120" s="15">
        <v>40</v>
      </c>
      <c r="L120" s="15">
        <v>19</v>
      </c>
      <c r="M120" s="15">
        <v>22.2</v>
      </c>
    </row>
    <row r="121" spans="1:22" ht="15" customHeight="1" x14ac:dyDescent="0.2">
      <c r="A121" s="9" t="s">
        <v>930</v>
      </c>
      <c r="B121" s="9">
        <v>7</v>
      </c>
      <c r="C121" s="9" t="s">
        <v>249</v>
      </c>
      <c r="D121" s="9" t="s">
        <v>251</v>
      </c>
      <c r="E121" s="9" t="s">
        <v>260</v>
      </c>
      <c r="F121" s="9" t="s">
        <v>720</v>
      </c>
      <c r="G121" s="9" t="s">
        <v>1071</v>
      </c>
      <c r="I121" s="10">
        <v>0.9</v>
      </c>
      <c r="J121" s="15">
        <v>63</v>
      </c>
      <c r="K121" s="15">
        <v>56</v>
      </c>
      <c r="L121" s="15">
        <v>25</v>
      </c>
      <c r="M121" s="15">
        <v>83.4</v>
      </c>
      <c r="N121" s="9">
        <f t="shared" ref="N121:O128" si="11">K121/J121</f>
        <v>0.88888888888888884</v>
      </c>
      <c r="O121" s="9">
        <f t="shared" si="11"/>
        <v>0.44642857142857145</v>
      </c>
      <c r="P121" s="9" t="s">
        <v>722</v>
      </c>
      <c r="Q121" s="9" t="s">
        <v>966</v>
      </c>
      <c r="R121" s="15">
        <v>20</v>
      </c>
      <c r="S121" s="15">
        <v>10</v>
      </c>
      <c r="T121" s="15">
        <v>127</v>
      </c>
      <c r="U121" s="9">
        <v>0</v>
      </c>
      <c r="V121" s="9" t="s">
        <v>721</v>
      </c>
    </row>
    <row r="122" spans="1:22" ht="15" customHeight="1" x14ac:dyDescent="0.2">
      <c r="A122" s="9" t="s">
        <v>931</v>
      </c>
      <c r="B122" s="9">
        <v>7</v>
      </c>
      <c r="C122" s="9" t="s">
        <v>249</v>
      </c>
      <c r="D122" s="9" t="s">
        <v>255</v>
      </c>
      <c r="E122" s="9" t="s">
        <v>261</v>
      </c>
      <c r="F122" s="9" t="s">
        <v>720</v>
      </c>
      <c r="G122" s="9" t="s">
        <v>1071</v>
      </c>
      <c r="I122" s="10">
        <v>1</v>
      </c>
      <c r="J122" s="15">
        <v>107</v>
      </c>
      <c r="K122" s="15">
        <v>87</v>
      </c>
      <c r="L122" s="15">
        <v>54</v>
      </c>
      <c r="M122" s="15">
        <v>523.20000000000005</v>
      </c>
      <c r="N122" s="9">
        <f t="shared" si="11"/>
        <v>0.81308411214953269</v>
      </c>
      <c r="O122" s="9">
        <f t="shared" si="11"/>
        <v>0.62068965517241381</v>
      </c>
      <c r="P122" s="9" t="s">
        <v>1077</v>
      </c>
      <c r="Q122" s="9" t="s">
        <v>966</v>
      </c>
      <c r="R122" s="15">
        <v>67</v>
      </c>
      <c r="S122" s="15">
        <v>36</v>
      </c>
      <c r="T122" s="15">
        <v>132</v>
      </c>
      <c r="U122" s="9">
        <v>0</v>
      </c>
      <c r="V122" s="9" t="s">
        <v>721</v>
      </c>
    </row>
    <row r="123" spans="1:22" ht="15" customHeight="1" x14ac:dyDescent="0.2">
      <c r="A123" s="9" t="s">
        <v>932</v>
      </c>
      <c r="B123" s="9">
        <v>7</v>
      </c>
      <c r="C123" s="9" t="s">
        <v>249</v>
      </c>
      <c r="D123" s="9" t="s">
        <v>251</v>
      </c>
      <c r="E123" s="9" t="s">
        <v>262</v>
      </c>
      <c r="F123" s="9" t="s">
        <v>720</v>
      </c>
      <c r="G123" s="9" t="s">
        <v>1071</v>
      </c>
      <c r="I123" s="10">
        <v>0.9</v>
      </c>
      <c r="J123" s="15">
        <v>64.099999999999994</v>
      </c>
      <c r="K123" s="15">
        <v>58</v>
      </c>
      <c r="L123" s="15">
        <v>21</v>
      </c>
      <c r="M123" s="15">
        <v>85.1</v>
      </c>
      <c r="N123" s="9">
        <f t="shared" si="11"/>
        <v>0.90483619344773802</v>
      </c>
      <c r="O123" s="9">
        <f t="shared" si="11"/>
        <v>0.36206896551724138</v>
      </c>
      <c r="P123" s="9" t="s">
        <v>1077</v>
      </c>
      <c r="Q123" s="9" t="s">
        <v>966</v>
      </c>
      <c r="R123" s="15">
        <v>56</v>
      </c>
      <c r="S123" s="15">
        <v>25</v>
      </c>
      <c r="T123" s="15">
        <v>121</v>
      </c>
      <c r="U123" s="9">
        <v>0</v>
      </c>
      <c r="V123" s="9" t="s">
        <v>721</v>
      </c>
    </row>
    <row r="124" spans="1:22" ht="15" customHeight="1" x14ac:dyDescent="0.2">
      <c r="A124" s="9" t="s">
        <v>933</v>
      </c>
      <c r="B124" s="9">
        <v>7</v>
      </c>
      <c r="C124" s="9" t="s">
        <v>249</v>
      </c>
      <c r="D124" s="9" t="s">
        <v>254</v>
      </c>
      <c r="E124" s="9" t="s">
        <v>262</v>
      </c>
      <c r="F124" s="9" t="s">
        <v>720</v>
      </c>
      <c r="G124" s="9" t="s">
        <v>1071</v>
      </c>
      <c r="I124" s="10">
        <v>1</v>
      </c>
      <c r="J124" s="15">
        <v>83</v>
      </c>
      <c r="K124" s="15">
        <v>60</v>
      </c>
      <c r="L124" s="15">
        <v>34</v>
      </c>
      <c r="M124" s="15">
        <v>203</v>
      </c>
      <c r="N124" s="9">
        <f t="shared" si="11"/>
        <v>0.72289156626506024</v>
      </c>
      <c r="O124" s="9">
        <f t="shared" si="11"/>
        <v>0.56666666666666665</v>
      </c>
      <c r="P124" s="9" t="s">
        <v>1077</v>
      </c>
      <c r="Q124" s="9" t="s">
        <v>1067</v>
      </c>
      <c r="R124" s="15">
        <v>52</v>
      </c>
      <c r="S124" s="15">
        <v>33</v>
      </c>
      <c r="T124" s="15">
        <v>117</v>
      </c>
      <c r="U124" s="9">
        <v>0</v>
      </c>
      <c r="V124" s="9" t="s">
        <v>721</v>
      </c>
    </row>
    <row r="125" spans="1:22" ht="15" customHeight="1" x14ac:dyDescent="0.2">
      <c r="A125" s="9" t="s">
        <v>934</v>
      </c>
      <c r="B125" s="9">
        <v>7</v>
      </c>
      <c r="C125" s="9" t="s">
        <v>249</v>
      </c>
      <c r="D125" s="9" t="s">
        <v>251</v>
      </c>
      <c r="E125" s="9" t="s">
        <v>262</v>
      </c>
      <c r="F125" s="9" t="s">
        <v>720</v>
      </c>
      <c r="G125" s="9" t="s">
        <v>1142</v>
      </c>
      <c r="I125" s="10">
        <v>0.6</v>
      </c>
      <c r="J125" s="15">
        <v>64</v>
      </c>
      <c r="K125" s="15">
        <v>52</v>
      </c>
      <c r="L125" s="15">
        <v>31</v>
      </c>
      <c r="M125" s="15">
        <v>132.30000000000001</v>
      </c>
      <c r="N125" s="9">
        <f t="shared" si="11"/>
        <v>0.8125</v>
      </c>
      <c r="O125" s="9">
        <f t="shared" si="11"/>
        <v>0.59615384615384615</v>
      </c>
      <c r="P125" s="9" t="s">
        <v>1084</v>
      </c>
      <c r="Q125" s="9" t="s">
        <v>966</v>
      </c>
      <c r="R125" s="15">
        <v>43</v>
      </c>
      <c r="S125" s="15">
        <v>19</v>
      </c>
      <c r="T125" s="15">
        <v>115</v>
      </c>
      <c r="U125" s="9">
        <v>3</v>
      </c>
      <c r="V125" s="9" t="s">
        <v>1103</v>
      </c>
    </row>
    <row r="126" spans="1:22" ht="15" customHeight="1" x14ac:dyDescent="0.2">
      <c r="A126" s="9" t="s">
        <v>935</v>
      </c>
      <c r="B126" s="9">
        <v>7</v>
      </c>
      <c r="C126" s="9" t="s">
        <v>249</v>
      </c>
      <c r="D126" s="9" t="s">
        <v>253</v>
      </c>
      <c r="E126" s="9" t="s">
        <v>261</v>
      </c>
      <c r="F126" s="9" t="s">
        <v>720</v>
      </c>
      <c r="G126" s="9" t="s">
        <v>1071</v>
      </c>
      <c r="I126" s="10">
        <v>0.9</v>
      </c>
      <c r="J126" s="15">
        <v>79</v>
      </c>
      <c r="K126" s="15">
        <v>74</v>
      </c>
      <c r="L126" s="15">
        <v>33</v>
      </c>
      <c r="M126" s="15">
        <v>246.6</v>
      </c>
      <c r="N126" s="9">
        <f t="shared" si="11"/>
        <v>0.93670886075949367</v>
      </c>
      <c r="O126" s="9">
        <f t="shared" si="11"/>
        <v>0.44594594594594594</v>
      </c>
      <c r="P126" s="9" t="s">
        <v>722</v>
      </c>
      <c r="Q126" s="9" t="s">
        <v>966</v>
      </c>
      <c r="R126" s="15">
        <v>63</v>
      </c>
      <c r="S126" s="15">
        <v>30</v>
      </c>
      <c r="T126" s="15">
        <v>98</v>
      </c>
      <c r="U126" s="9">
        <v>2</v>
      </c>
      <c r="V126" s="9" t="s">
        <v>1103</v>
      </c>
    </row>
    <row r="127" spans="1:22" ht="15" customHeight="1" x14ac:dyDescent="0.2">
      <c r="A127" s="9" t="s">
        <v>936</v>
      </c>
      <c r="B127" s="9">
        <v>7</v>
      </c>
      <c r="C127" s="9" t="s">
        <v>249</v>
      </c>
      <c r="D127" s="9" t="s">
        <v>254</v>
      </c>
      <c r="E127" s="9" t="s">
        <v>263</v>
      </c>
      <c r="F127" s="9" t="s">
        <v>720</v>
      </c>
      <c r="G127" s="9" t="s">
        <v>1076</v>
      </c>
      <c r="I127" s="10">
        <v>0</v>
      </c>
      <c r="J127" s="15">
        <v>66</v>
      </c>
      <c r="K127" s="15">
        <v>61</v>
      </c>
      <c r="L127" s="15">
        <v>29</v>
      </c>
      <c r="M127" s="15">
        <v>119.3</v>
      </c>
      <c r="N127" s="9">
        <f t="shared" si="11"/>
        <v>0.9242424242424242</v>
      </c>
      <c r="O127" s="9">
        <f t="shared" si="11"/>
        <v>0.47540983606557374</v>
      </c>
      <c r="P127" s="9" t="s">
        <v>1084</v>
      </c>
      <c r="Q127" s="9" t="s">
        <v>966</v>
      </c>
      <c r="R127" s="15">
        <v>55</v>
      </c>
      <c r="S127" s="15">
        <v>25</v>
      </c>
      <c r="T127" s="15">
        <v>107</v>
      </c>
      <c r="U127" s="9">
        <v>4</v>
      </c>
      <c r="V127" s="9" t="s">
        <v>1074</v>
      </c>
    </row>
    <row r="128" spans="1:22" ht="15" customHeight="1" x14ac:dyDescent="0.2">
      <c r="A128" s="9" t="s">
        <v>956</v>
      </c>
      <c r="B128" s="9">
        <v>7</v>
      </c>
      <c r="C128" s="9" t="s">
        <v>240</v>
      </c>
      <c r="D128" s="9" t="s">
        <v>251</v>
      </c>
      <c r="E128" s="9" t="s">
        <v>1095</v>
      </c>
      <c r="F128" s="9" t="s">
        <v>720</v>
      </c>
      <c r="G128" s="9" t="s">
        <v>1142</v>
      </c>
      <c r="I128" s="10">
        <v>0.2</v>
      </c>
      <c r="J128" s="15">
        <v>63</v>
      </c>
      <c r="K128" s="15">
        <v>42</v>
      </c>
      <c r="L128" s="15">
        <v>21</v>
      </c>
      <c r="M128" s="15">
        <v>53.8</v>
      </c>
      <c r="N128" s="9">
        <f t="shared" si="11"/>
        <v>0.66666666666666663</v>
      </c>
      <c r="O128" s="9">
        <f t="shared" si="11"/>
        <v>0.5</v>
      </c>
      <c r="P128" s="9" t="s">
        <v>1086</v>
      </c>
      <c r="Q128" s="9" t="s">
        <v>966</v>
      </c>
      <c r="R128" s="15">
        <v>33</v>
      </c>
      <c r="S128" s="15">
        <v>12</v>
      </c>
      <c r="T128" s="15">
        <v>122</v>
      </c>
      <c r="U128" s="9">
        <v>2</v>
      </c>
      <c r="V128" s="9" t="s">
        <v>1070</v>
      </c>
    </row>
    <row r="129" spans="1:22" ht="15" customHeight="1" x14ac:dyDescent="0.2">
      <c r="A129" s="9" t="s">
        <v>957</v>
      </c>
      <c r="B129" s="9">
        <v>7</v>
      </c>
      <c r="C129" s="9" t="s">
        <v>240</v>
      </c>
      <c r="D129" s="9" t="s">
        <v>251</v>
      </c>
      <c r="E129" s="9" t="s">
        <v>708</v>
      </c>
      <c r="F129" s="9" t="s">
        <v>1061</v>
      </c>
      <c r="H129" s="9" t="s">
        <v>1089</v>
      </c>
      <c r="I129" s="10">
        <v>0.9</v>
      </c>
      <c r="J129" s="15">
        <v>74</v>
      </c>
      <c r="K129" s="15">
        <v>67</v>
      </c>
      <c r="L129" s="15">
        <v>34</v>
      </c>
      <c r="M129" s="15">
        <v>184.2</v>
      </c>
      <c r="Q129" s="9" t="s">
        <v>966</v>
      </c>
      <c r="R129" s="15">
        <v>41</v>
      </c>
      <c r="S129" s="15">
        <v>23</v>
      </c>
      <c r="T129" s="15">
        <v>99</v>
      </c>
    </row>
    <row r="130" spans="1:22" ht="15" customHeight="1" x14ac:dyDescent="0.2">
      <c r="A130" s="9" t="s">
        <v>958</v>
      </c>
      <c r="B130" s="9">
        <v>7</v>
      </c>
      <c r="C130" s="9" t="s">
        <v>240</v>
      </c>
      <c r="D130" s="9" t="s">
        <v>251</v>
      </c>
      <c r="E130" s="9" t="s">
        <v>261</v>
      </c>
      <c r="F130" s="9" t="s">
        <v>1061</v>
      </c>
      <c r="H130" s="9" t="s">
        <v>1089</v>
      </c>
      <c r="I130" s="10">
        <v>0</v>
      </c>
      <c r="J130" s="15">
        <v>50</v>
      </c>
      <c r="K130" s="15">
        <v>50</v>
      </c>
      <c r="L130" s="15">
        <v>22</v>
      </c>
      <c r="M130" s="15">
        <v>50.1</v>
      </c>
      <c r="Q130" s="9" t="s">
        <v>1067</v>
      </c>
      <c r="R130" s="15">
        <v>34</v>
      </c>
      <c r="S130" s="15">
        <v>19</v>
      </c>
      <c r="T130" s="15">
        <v>112</v>
      </c>
    </row>
    <row r="131" spans="1:22" ht="15" customHeight="1" x14ac:dyDescent="0.2">
      <c r="A131" s="9" t="s">
        <v>976</v>
      </c>
      <c r="B131" s="9">
        <v>7</v>
      </c>
      <c r="C131" s="9" t="s">
        <v>239</v>
      </c>
      <c r="D131" s="9" t="s">
        <v>251</v>
      </c>
      <c r="E131" s="9" t="s">
        <v>260</v>
      </c>
      <c r="F131" s="9" t="s">
        <v>720</v>
      </c>
      <c r="G131" s="9" t="s">
        <v>1071</v>
      </c>
      <c r="I131" s="10">
        <v>0.95</v>
      </c>
      <c r="J131" s="15">
        <v>72</v>
      </c>
      <c r="K131" s="15">
        <v>44</v>
      </c>
      <c r="L131" s="15">
        <v>13</v>
      </c>
      <c r="M131" s="15">
        <v>65.900000000000006</v>
      </c>
      <c r="N131" s="9">
        <f>K131/J131</f>
        <v>0.61111111111111116</v>
      </c>
      <c r="O131" s="9">
        <f>L131/K131</f>
        <v>0.29545454545454547</v>
      </c>
      <c r="P131" s="9" t="s">
        <v>722</v>
      </c>
      <c r="Q131" s="9" t="s">
        <v>1073</v>
      </c>
      <c r="R131" s="15">
        <v>65.400000000000006</v>
      </c>
      <c r="S131" s="15">
        <v>16.940000000000001</v>
      </c>
      <c r="T131" s="15">
        <v>125</v>
      </c>
      <c r="U131" s="9">
        <v>1</v>
      </c>
      <c r="V131" s="9" t="s">
        <v>1082</v>
      </c>
    </row>
    <row r="132" spans="1:22" ht="15" customHeight="1" x14ac:dyDescent="0.2">
      <c r="A132" s="9" t="s">
        <v>743</v>
      </c>
      <c r="B132" s="9">
        <v>7</v>
      </c>
      <c r="C132" s="9" t="s">
        <v>239</v>
      </c>
      <c r="D132" s="9" t="s">
        <v>251</v>
      </c>
      <c r="E132" s="9" t="s">
        <v>261</v>
      </c>
      <c r="F132" s="9" t="s">
        <v>1061</v>
      </c>
      <c r="H132" s="9" t="s">
        <v>1088</v>
      </c>
      <c r="I132" s="10">
        <v>0.7</v>
      </c>
      <c r="J132" s="15">
        <v>86</v>
      </c>
      <c r="K132" s="15">
        <v>53</v>
      </c>
      <c r="L132" s="15">
        <v>36</v>
      </c>
      <c r="M132" s="15">
        <v>183.8</v>
      </c>
    </row>
    <row r="133" spans="1:22" ht="15" customHeight="1" x14ac:dyDescent="0.2">
      <c r="A133" s="9" t="s">
        <v>981</v>
      </c>
      <c r="B133" s="9">
        <v>7</v>
      </c>
      <c r="C133" s="9" t="s">
        <v>240</v>
      </c>
      <c r="D133" s="9" t="s">
        <v>251</v>
      </c>
      <c r="E133" s="9" t="s">
        <v>260</v>
      </c>
      <c r="F133" s="9" t="s">
        <v>720</v>
      </c>
      <c r="G133" s="9" t="s">
        <v>1142</v>
      </c>
      <c r="I133" s="10">
        <v>0.45</v>
      </c>
      <c r="J133" s="15">
        <v>73</v>
      </c>
      <c r="K133" s="15">
        <v>68</v>
      </c>
      <c r="L133" s="15">
        <v>23</v>
      </c>
      <c r="M133" s="15">
        <v>103.8</v>
      </c>
      <c r="N133" s="9">
        <f>K133/J133</f>
        <v>0.93150684931506844</v>
      </c>
      <c r="O133" s="9">
        <f>L133/K133</f>
        <v>0.33823529411764708</v>
      </c>
      <c r="P133" s="9" t="s">
        <v>722</v>
      </c>
      <c r="Q133" s="9" t="s">
        <v>1068</v>
      </c>
      <c r="R133" s="15">
        <v>68.58</v>
      </c>
      <c r="S133" s="15">
        <v>18.71</v>
      </c>
      <c r="T133" s="15">
        <v>90</v>
      </c>
      <c r="U133" s="9">
        <v>2</v>
      </c>
      <c r="V133" s="9" t="s">
        <v>1070</v>
      </c>
    </row>
    <row r="134" spans="1:22" ht="15" customHeight="1" x14ac:dyDescent="0.2">
      <c r="A134" s="9" t="s">
        <v>993</v>
      </c>
      <c r="B134" s="9">
        <v>7</v>
      </c>
      <c r="C134" s="9" t="s">
        <v>240</v>
      </c>
      <c r="D134" s="9" t="s">
        <v>251</v>
      </c>
      <c r="E134" s="9" t="s">
        <v>760</v>
      </c>
      <c r="F134" s="9" t="s">
        <v>720</v>
      </c>
      <c r="G134" s="9" t="s">
        <v>1072</v>
      </c>
      <c r="I134" s="10">
        <v>0.55000000000000004</v>
      </c>
      <c r="J134" s="15">
        <v>44</v>
      </c>
      <c r="K134" s="15">
        <v>30</v>
      </c>
      <c r="L134" s="15">
        <v>26</v>
      </c>
      <c r="M134" s="15">
        <v>29</v>
      </c>
      <c r="N134" s="9">
        <f>K134/J134</f>
        <v>0.68181818181818177</v>
      </c>
      <c r="O134" s="9">
        <f>L134/K134</f>
        <v>0.8666666666666667</v>
      </c>
      <c r="P134" s="9" t="s">
        <v>1081</v>
      </c>
      <c r="Q134" s="9" t="s">
        <v>1069</v>
      </c>
      <c r="R134" s="15">
        <v>28.12</v>
      </c>
      <c r="S134" s="15">
        <v>19.86</v>
      </c>
      <c r="T134" s="15">
        <v>98</v>
      </c>
      <c r="U134" s="9">
        <v>0</v>
      </c>
      <c r="V134" s="9" t="s">
        <v>721</v>
      </c>
    </row>
    <row r="135" spans="1:22" ht="15" customHeight="1" x14ac:dyDescent="0.2">
      <c r="A135" s="9" t="s">
        <v>182</v>
      </c>
      <c r="B135" s="9">
        <v>7</v>
      </c>
      <c r="C135" s="9" t="s">
        <v>249</v>
      </c>
      <c r="D135" s="9" t="s">
        <v>251</v>
      </c>
      <c r="E135" s="9" t="s">
        <v>261</v>
      </c>
      <c r="F135" s="9" t="s">
        <v>1061</v>
      </c>
      <c r="H135" s="9" t="s">
        <v>1064</v>
      </c>
      <c r="I135" s="10">
        <v>0.6</v>
      </c>
      <c r="J135" s="15">
        <v>84</v>
      </c>
      <c r="K135" s="15">
        <v>83</v>
      </c>
      <c r="L135" s="15">
        <v>46</v>
      </c>
      <c r="M135" s="15">
        <v>449</v>
      </c>
    </row>
    <row r="136" spans="1:22" ht="15" customHeight="1" x14ac:dyDescent="0.2">
      <c r="A136" s="9" t="s">
        <v>994</v>
      </c>
      <c r="B136" s="9">
        <v>7</v>
      </c>
      <c r="C136" s="9" t="s">
        <v>249</v>
      </c>
      <c r="D136" s="9" t="s">
        <v>251</v>
      </c>
      <c r="E136" s="9" t="s">
        <v>260</v>
      </c>
      <c r="F136" s="9" t="s">
        <v>1061</v>
      </c>
      <c r="H136" s="9" t="s">
        <v>1064</v>
      </c>
      <c r="I136" s="10">
        <v>1</v>
      </c>
      <c r="J136" s="15">
        <v>65</v>
      </c>
      <c r="K136" s="15">
        <v>36</v>
      </c>
      <c r="L136" s="15">
        <v>25</v>
      </c>
      <c r="M136" s="15">
        <v>64.3</v>
      </c>
    </row>
    <row r="137" spans="1:22" ht="15" customHeight="1" x14ac:dyDescent="0.2">
      <c r="A137" s="9" t="s">
        <v>995</v>
      </c>
      <c r="B137" s="9">
        <v>7</v>
      </c>
      <c r="C137" s="9" t="s">
        <v>249</v>
      </c>
      <c r="D137" s="9" t="s">
        <v>257</v>
      </c>
      <c r="E137" s="9" t="s">
        <v>261</v>
      </c>
      <c r="F137" s="9" t="s">
        <v>720</v>
      </c>
      <c r="G137" s="9" t="s">
        <v>1071</v>
      </c>
      <c r="I137" s="10">
        <v>1</v>
      </c>
      <c r="J137" s="15">
        <v>81</v>
      </c>
      <c r="K137" s="15">
        <v>56</v>
      </c>
      <c r="L137" s="15">
        <v>30</v>
      </c>
      <c r="M137" s="15">
        <v>141.5</v>
      </c>
      <c r="N137" s="9">
        <f>K137/J137</f>
        <v>0.69135802469135799</v>
      </c>
      <c r="O137" s="9">
        <f>L137/K137</f>
        <v>0.5357142857142857</v>
      </c>
      <c r="P137" s="9" t="s">
        <v>1086</v>
      </c>
      <c r="Q137" s="9" t="s">
        <v>1073</v>
      </c>
      <c r="R137" s="15">
        <v>50.53</v>
      </c>
      <c r="S137" s="15">
        <v>24.53</v>
      </c>
      <c r="T137" s="15">
        <v>112</v>
      </c>
      <c r="U137" s="9">
        <v>0</v>
      </c>
      <c r="V137" s="9" t="s">
        <v>721</v>
      </c>
    </row>
    <row r="138" spans="1:22" ht="15" customHeight="1" x14ac:dyDescent="0.2">
      <c r="A138" s="9" t="s">
        <v>1008</v>
      </c>
      <c r="B138" s="9">
        <v>7</v>
      </c>
      <c r="C138" s="9" t="s">
        <v>240</v>
      </c>
      <c r="D138" s="9" t="s">
        <v>251</v>
      </c>
      <c r="E138" s="9" t="s">
        <v>261</v>
      </c>
      <c r="F138" s="9" t="s">
        <v>1061</v>
      </c>
      <c r="H138" s="9" t="s">
        <v>1064</v>
      </c>
      <c r="I138" s="10">
        <v>0.25</v>
      </c>
      <c r="J138" s="15">
        <v>75</v>
      </c>
      <c r="K138" s="15">
        <v>62</v>
      </c>
      <c r="L138" s="15">
        <v>30</v>
      </c>
      <c r="M138" s="15">
        <v>157.9</v>
      </c>
    </row>
    <row r="139" spans="1:22" ht="15" customHeight="1" x14ac:dyDescent="0.2">
      <c r="A139" s="9" t="s">
        <v>1009</v>
      </c>
      <c r="B139" s="9">
        <v>7</v>
      </c>
      <c r="C139" s="9" t="s">
        <v>240</v>
      </c>
      <c r="D139" s="9" t="s">
        <v>251</v>
      </c>
      <c r="E139" s="9" t="s">
        <v>261</v>
      </c>
      <c r="F139" s="9" t="s">
        <v>1061</v>
      </c>
      <c r="H139" s="9" t="s">
        <v>1064</v>
      </c>
      <c r="I139" s="10">
        <v>0.95</v>
      </c>
      <c r="J139" s="15">
        <v>46</v>
      </c>
      <c r="K139" s="15">
        <v>45</v>
      </c>
      <c r="L139" s="15">
        <v>15</v>
      </c>
      <c r="M139" s="15">
        <v>36.299999999999997</v>
      </c>
    </row>
    <row r="140" spans="1:22" ht="15" customHeight="1" x14ac:dyDescent="0.2">
      <c r="A140" s="9" t="s">
        <v>1010</v>
      </c>
      <c r="B140" s="9">
        <v>7</v>
      </c>
      <c r="C140" s="9" t="s">
        <v>240</v>
      </c>
      <c r="D140" s="9" t="s">
        <v>251</v>
      </c>
      <c r="E140" s="9" t="s">
        <v>261</v>
      </c>
      <c r="F140" s="9" t="s">
        <v>1061</v>
      </c>
      <c r="H140" s="9" t="s">
        <v>1064</v>
      </c>
      <c r="I140" s="10">
        <v>0.95</v>
      </c>
      <c r="J140" s="15">
        <v>100</v>
      </c>
      <c r="K140" s="15">
        <v>69</v>
      </c>
      <c r="L140" s="15">
        <v>30</v>
      </c>
      <c r="M140" s="15">
        <v>164.9</v>
      </c>
    </row>
    <row r="141" spans="1:22" ht="15" customHeight="1" x14ac:dyDescent="0.2">
      <c r="A141" s="9" t="s">
        <v>1021</v>
      </c>
      <c r="B141" s="9">
        <v>7</v>
      </c>
      <c r="C141" s="9" t="s">
        <v>239</v>
      </c>
      <c r="D141" s="9" t="s">
        <v>251</v>
      </c>
      <c r="E141" s="9" t="s">
        <v>261</v>
      </c>
      <c r="F141" s="9" t="s">
        <v>1061</v>
      </c>
      <c r="H141" s="9" t="s">
        <v>1062</v>
      </c>
      <c r="I141" s="10">
        <v>0.6</v>
      </c>
      <c r="J141" s="15">
        <v>75</v>
      </c>
      <c r="K141" s="15">
        <v>53</v>
      </c>
      <c r="L141" s="15">
        <v>30</v>
      </c>
      <c r="M141" s="15">
        <v>143</v>
      </c>
    </row>
    <row r="142" spans="1:22" ht="15" customHeight="1" x14ac:dyDescent="0.2">
      <c r="A142" s="9" t="s">
        <v>1023</v>
      </c>
      <c r="B142" s="9">
        <v>7</v>
      </c>
      <c r="C142" s="9" t="s">
        <v>239</v>
      </c>
      <c r="D142" s="9" t="s">
        <v>257</v>
      </c>
      <c r="E142" s="9" t="s">
        <v>261</v>
      </c>
      <c r="F142" s="9" t="s">
        <v>1061</v>
      </c>
      <c r="H142" s="9" t="s">
        <v>1064</v>
      </c>
      <c r="I142" s="10">
        <v>0.6</v>
      </c>
      <c r="J142" s="15">
        <v>64</v>
      </c>
      <c r="K142" s="15">
        <v>48</v>
      </c>
      <c r="L142" s="15">
        <v>25</v>
      </c>
      <c r="M142" s="15">
        <v>79.2</v>
      </c>
    </row>
    <row r="143" spans="1:22" ht="15" customHeight="1" x14ac:dyDescent="0.2">
      <c r="A143" s="9" t="s">
        <v>1025</v>
      </c>
      <c r="B143" s="9">
        <v>7</v>
      </c>
      <c r="C143" s="9" t="s">
        <v>239</v>
      </c>
      <c r="D143" s="9" t="s">
        <v>251</v>
      </c>
      <c r="E143" s="9" t="s">
        <v>261</v>
      </c>
      <c r="F143" s="9" t="s">
        <v>720</v>
      </c>
      <c r="G143" s="9" t="s">
        <v>1146</v>
      </c>
      <c r="I143" s="10">
        <v>0.3</v>
      </c>
      <c r="J143" s="15">
        <v>56</v>
      </c>
      <c r="K143" s="15">
        <v>46</v>
      </c>
      <c r="L143" s="15">
        <v>24</v>
      </c>
      <c r="M143" s="15">
        <v>72</v>
      </c>
      <c r="N143" s="9">
        <f>K143/J143</f>
        <v>0.8214285714285714</v>
      </c>
      <c r="O143" s="9">
        <f>L143/K143</f>
        <v>0.52173913043478259</v>
      </c>
      <c r="P143" s="9" t="s">
        <v>722</v>
      </c>
      <c r="Q143" s="9" t="s">
        <v>1073</v>
      </c>
      <c r="R143" s="15">
        <v>31.49</v>
      </c>
      <c r="S143" s="15">
        <v>10.61</v>
      </c>
      <c r="T143" s="15">
        <v>127</v>
      </c>
      <c r="U143" s="9">
        <v>4</v>
      </c>
      <c r="V143" s="9" t="s">
        <v>1078</v>
      </c>
    </row>
    <row r="144" spans="1:22" ht="15" customHeight="1" x14ac:dyDescent="0.2">
      <c r="A144" s="9" t="s">
        <v>1026</v>
      </c>
      <c r="B144" s="9">
        <v>7</v>
      </c>
      <c r="C144" s="9" t="s">
        <v>240</v>
      </c>
      <c r="D144" s="9" t="s">
        <v>251</v>
      </c>
      <c r="E144" s="9" t="s">
        <v>261</v>
      </c>
      <c r="F144" s="9" t="s">
        <v>1061</v>
      </c>
      <c r="H144" s="9" t="s">
        <v>1062</v>
      </c>
      <c r="I144" s="10">
        <v>0.9</v>
      </c>
      <c r="J144" s="15">
        <v>70</v>
      </c>
      <c r="K144" s="15">
        <v>76</v>
      </c>
      <c r="L144" s="15">
        <v>29</v>
      </c>
      <c r="M144" s="15">
        <v>159.80000000000001</v>
      </c>
    </row>
    <row r="145" spans="1:22" ht="15" customHeight="1" x14ac:dyDescent="0.2">
      <c r="A145" s="9" t="s">
        <v>1027</v>
      </c>
      <c r="B145" s="9">
        <v>7</v>
      </c>
      <c r="C145" s="9" t="s">
        <v>240</v>
      </c>
      <c r="D145" s="9" t="s">
        <v>251</v>
      </c>
      <c r="E145" s="9" t="s">
        <v>260</v>
      </c>
      <c r="F145" s="9" t="s">
        <v>1061</v>
      </c>
      <c r="H145" s="9" t="s">
        <v>1064</v>
      </c>
      <c r="I145" s="10">
        <v>0.3</v>
      </c>
      <c r="J145" s="15">
        <v>105</v>
      </c>
      <c r="K145" s="15">
        <v>96</v>
      </c>
      <c r="L145" s="15">
        <v>49</v>
      </c>
      <c r="M145" s="15">
        <v>372.7</v>
      </c>
    </row>
    <row r="146" spans="1:22" ht="15" customHeight="1" x14ac:dyDescent="0.2">
      <c r="A146" s="9" t="s">
        <v>887</v>
      </c>
      <c r="B146" s="9">
        <v>7</v>
      </c>
      <c r="C146" s="9" t="s">
        <v>240</v>
      </c>
      <c r="D146" s="9" t="s">
        <v>251</v>
      </c>
      <c r="E146" s="9" t="s">
        <v>260</v>
      </c>
      <c r="F146" s="9" t="s">
        <v>1061</v>
      </c>
      <c r="H146" s="9" t="s">
        <v>1063</v>
      </c>
      <c r="I146" s="10">
        <v>0.2</v>
      </c>
      <c r="J146" s="15">
        <v>70</v>
      </c>
      <c r="K146" s="15">
        <v>46</v>
      </c>
      <c r="L146" s="15">
        <v>23</v>
      </c>
      <c r="M146" s="15">
        <v>91.4</v>
      </c>
    </row>
    <row r="147" spans="1:22" ht="15" customHeight="1" x14ac:dyDescent="0.2">
      <c r="A147" s="9" t="s">
        <v>1028</v>
      </c>
      <c r="B147" s="9">
        <v>7</v>
      </c>
      <c r="C147" s="9" t="s">
        <v>240</v>
      </c>
      <c r="D147" s="9" t="s">
        <v>251</v>
      </c>
      <c r="E147" s="9" t="s">
        <v>261</v>
      </c>
      <c r="F147" s="9" t="s">
        <v>1061</v>
      </c>
      <c r="H147" s="9" t="s">
        <v>1062</v>
      </c>
      <c r="I147" s="10">
        <v>0.9</v>
      </c>
      <c r="J147" s="15">
        <v>56</v>
      </c>
      <c r="K147" s="15">
        <v>64</v>
      </c>
      <c r="L147" s="15">
        <v>35</v>
      </c>
      <c r="M147" s="15">
        <v>124.9</v>
      </c>
    </row>
    <row r="148" spans="1:22" ht="15" customHeight="1" x14ac:dyDescent="0.2">
      <c r="A148" s="9" t="s">
        <v>1029</v>
      </c>
      <c r="B148" s="9">
        <v>7</v>
      </c>
      <c r="C148" s="9" t="s">
        <v>240</v>
      </c>
      <c r="D148" s="9" t="s">
        <v>251</v>
      </c>
      <c r="E148" s="9" t="s">
        <v>261</v>
      </c>
      <c r="F148" s="9" t="s">
        <v>1061</v>
      </c>
      <c r="H148" s="9" t="s">
        <v>1062</v>
      </c>
      <c r="I148" s="10">
        <v>0.6</v>
      </c>
      <c r="J148" s="15">
        <v>55</v>
      </c>
      <c r="K148" s="15">
        <v>46</v>
      </c>
      <c r="L148" s="15">
        <v>34</v>
      </c>
      <c r="M148" s="15">
        <v>94.6</v>
      </c>
    </row>
    <row r="149" spans="1:22" ht="15" customHeight="1" x14ac:dyDescent="0.2">
      <c r="A149" s="9" t="s">
        <v>1050</v>
      </c>
      <c r="B149" s="9">
        <v>7</v>
      </c>
      <c r="C149" s="9" t="s">
        <v>240</v>
      </c>
      <c r="D149" s="9" t="s">
        <v>251</v>
      </c>
      <c r="E149" s="9" t="s">
        <v>261</v>
      </c>
      <c r="F149" s="9" t="s">
        <v>1061</v>
      </c>
      <c r="H149" s="9" t="s">
        <v>1063</v>
      </c>
      <c r="I149" s="10">
        <v>0.8</v>
      </c>
      <c r="J149" s="15">
        <v>62</v>
      </c>
      <c r="K149" s="15">
        <v>43</v>
      </c>
      <c r="L149" s="15">
        <v>28</v>
      </c>
      <c r="M149" s="15">
        <v>77.3</v>
      </c>
    </row>
    <row r="150" spans="1:22" ht="15" customHeight="1" x14ac:dyDescent="0.2">
      <c r="A150" s="9" t="s">
        <v>1051</v>
      </c>
      <c r="B150" s="9">
        <v>7</v>
      </c>
      <c r="C150" s="9" t="s">
        <v>249</v>
      </c>
      <c r="D150" s="9" t="s">
        <v>253</v>
      </c>
      <c r="E150" s="9" t="s">
        <v>261</v>
      </c>
      <c r="F150" s="9" t="s">
        <v>1061</v>
      </c>
      <c r="H150" s="9" t="s">
        <v>1062</v>
      </c>
      <c r="I150" s="10">
        <v>1</v>
      </c>
      <c r="J150" s="15">
        <v>64</v>
      </c>
      <c r="K150" s="15">
        <v>51</v>
      </c>
      <c r="L150" s="15">
        <v>27</v>
      </c>
      <c r="M150" s="15">
        <v>116.9</v>
      </c>
    </row>
    <row r="151" spans="1:22" ht="15" customHeight="1" x14ac:dyDescent="0.2">
      <c r="A151" s="9" t="s">
        <v>1060</v>
      </c>
      <c r="B151" s="9">
        <v>7</v>
      </c>
      <c r="C151" s="9" t="s">
        <v>240</v>
      </c>
      <c r="D151" s="9" t="s">
        <v>251</v>
      </c>
      <c r="E151" s="9" t="s">
        <v>261</v>
      </c>
      <c r="F151" s="9" t="s">
        <v>1061</v>
      </c>
      <c r="H151" s="9" t="s">
        <v>1064</v>
      </c>
      <c r="I151" s="10">
        <v>0.9</v>
      </c>
      <c r="J151" s="15">
        <v>61</v>
      </c>
      <c r="K151" s="15">
        <v>38</v>
      </c>
      <c r="L151" s="15">
        <v>19</v>
      </c>
      <c r="M151" s="15">
        <v>50.9</v>
      </c>
    </row>
    <row r="152" spans="1:22" ht="15" customHeight="1" x14ac:dyDescent="0.2">
      <c r="A152" s="9" t="s">
        <v>892</v>
      </c>
      <c r="B152" s="9">
        <v>8</v>
      </c>
      <c r="C152" s="9" t="s">
        <v>241</v>
      </c>
      <c r="D152" s="9" t="s">
        <v>251</v>
      </c>
      <c r="E152" s="9" t="s">
        <v>262</v>
      </c>
      <c r="F152" s="9" t="s">
        <v>720</v>
      </c>
      <c r="G152" s="9" t="s">
        <v>1076</v>
      </c>
      <c r="I152" s="10">
        <v>0.35</v>
      </c>
      <c r="J152" s="15">
        <v>67</v>
      </c>
      <c r="K152" s="15">
        <v>44</v>
      </c>
      <c r="L152" s="15">
        <v>27</v>
      </c>
      <c r="M152" s="15">
        <v>94.5</v>
      </c>
      <c r="N152" s="9">
        <f>K152/J152</f>
        <v>0.65671641791044777</v>
      </c>
      <c r="O152" s="9">
        <f>L152/K152</f>
        <v>0.61363636363636365</v>
      </c>
      <c r="P152" s="9" t="s">
        <v>1077</v>
      </c>
      <c r="Q152" s="9" t="s">
        <v>1067</v>
      </c>
      <c r="R152" s="15">
        <v>19</v>
      </c>
      <c r="S152" s="15">
        <v>7</v>
      </c>
      <c r="T152" s="15">
        <v>122</v>
      </c>
      <c r="U152" s="9">
        <v>2</v>
      </c>
      <c r="V152" s="9" t="s">
        <v>1078</v>
      </c>
    </row>
    <row r="153" spans="1:22" ht="15" customHeight="1" x14ac:dyDescent="0.2">
      <c r="A153" s="9" t="s">
        <v>893</v>
      </c>
      <c r="B153" s="9">
        <v>8</v>
      </c>
      <c r="C153" s="9" t="s">
        <v>241</v>
      </c>
      <c r="D153" s="9" t="s">
        <v>251</v>
      </c>
      <c r="E153" s="9" t="s">
        <v>708</v>
      </c>
      <c r="F153" s="9" t="s">
        <v>720</v>
      </c>
      <c r="G153" s="9" t="s">
        <v>1142</v>
      </c>
      <c r="I153" s="10">
        <v>0.2</v>
      </c>
      <c r="J153" s="15">
        <v>60</v>
      </c>
      <c r="K153" s="15">
        <v>60</v>
      </c>
      <c r="L153" s="15">
        <v>15</v>
      </c>
      <c r="M153" s="15">
        <v>61.5</v>
      </c>
      <c r="N153" s="9">
        <f>K153/J153</f>
        <v>1</v>
      </c>
      <c r="O153" s="9">
        <f>L153/K153</f>
        <v>0.25</v>
      </c>
      <c r="P153" s="9" t="s">
        <v>1077</v>
      </c>
      <c r="Q153" s="9" t="s">
        <v>1068</v>
      </c>
      <c r="R153" s="15">
        <v>31</v>
      </c>
      <c r="S153" s="15">
        <v>14</v>
      </c>
      <c r="T153" s="15">
        <v>130</v>
      </c>
      <c r="U153" s="9">
        <v>4</v>
      </c>
      <c r="V153" s="9" t="s">
        <v>1070</v>
      </c>
    </row>
    <row r="154" spans="1:22" ht="15" customHeight="1" x14ac:dyDescent="0.2">
      <c r="A154" s="9" t="s">
        <v>894</v>
      </c>
      <c r="B154" s="9">
        <v>8</v>
      </c>
      <c r="C154" s="9" t="s">
        <v>241</v>
      </c>
      <c r="D154" s="9" t="s">
        <v>251</v>
      </c>
      <c r="E154" s="9" t="s">
        <v>261</v>
      </c>
      <c r="F154" s="9" t="s">
        <v>1061</v>
      </c>
      <c r="H154" s="9" t="s">
        <v>1089</v>
      </c>
      <c r="I154" s="10">
        <v>0.9</v>
      </c>
      <c r="J154" s="15">
        <v>112</v>
      </c>
      <c r="K154" s="15">
        <v>105</v>
      </c>
      <c r="L154" s="15">
        <v>43</v>
      </c>
      <c r="M154" s="15">
        <v>317.89999999999998</v>
      </c>
      <c r="Q154" s="9" t="s">
        <v>966</v>
      </c>
      <c r="R154" s="15">
        <v>41</v>
      </c>
      <c r="S154" s="15">
        <v>17</v>
      </c>
      <c r="T154" s="15">
        <v>128</v>
      </c>
    </row>
    <row r="155" spans="1:22" ht="15" customHeight="1" x14ac:dyDescent="0.2">
      <c r="A155" s="9" t="s">
        <v>895</v>
      </c>
      <c r="B155" s="9">
        <v>8</v>
      </c>
      <c r="C155" s="9" t="s">
        <v>241</v>
      </c>
      <c r="D155" s="9" t="s">
        <v>251</v>
      </c>
      <c r="E155" s="9" t="s">
        <v>261</v>
      </c>
      <c r="F155" s="9" t="s">
        <v>720</v>
      </c>
      <c r="G155" s="9" t="s">
        <v>1071</v>
      </c>
      <c r="I155" s="10">
        <v>0.8</v>
      </c>
      <c r="J155" s="15">
        <v>60</v>
      </c>
      <c r="K155" s="15">
        <v>49</v>
      </c>
      <c r="L155" s="15">
        <v>23</v>
      </c>
      <c r="M155" s="15">
        <v>82.9</v>
      </c>
      <c r="N155" s="9">
        <f>K155/J155</f>
        <v>0.81666666666666665</v>
      </c>
      <c r="O155" s="9">
        <f>L155/K155</f>
        <v>0.46938775510204084</v>
      </c>
      <c r="P155" s="9" t="s">
        <v>722</v>
      </c>
      <c r="Q155" s="9" t="s">
        <v>966</v>
      </c>
      <c r="R155" s="15">
        <v>36</v>
      </c>
      <c r="S155" s="15">
        <v>23</v>
      </c>
      <c r="T155" s="15">
        <v>111</v>
      </c>
      <c r="U155" s="9">
        <v>3</v>
      </c>
      <c r="V155" s="9" t="s">
        <v>1079</v>
      </c>
    </row>
    <row r="156" spans="1:22" ht="15" customHeight="1" x14ac:dyDescent="0.2">
      <c r="A156" s="9" t="s">
        <v>982</v>
      </c>
      <c r="B156" s="9">
        <v>8</v>
      </c>
      <c r="C156" s="9" t="s">
        <v>241</v>
      </c>
      <c r="D156" s="9" t="s">
        <v>251</v>
      </c>
      <c r="E156" s="9" t="s">
        <v>261</v>
      </c>
      <c r="F156" s="9" t="s">
        <v>1061</v>
      </c>
      <c r="H156" s="9" t="s">
        <v>1064</v>
      </c>
      <c r="I156" s="10">
        <v>1</v>
      </c>
      <c r="J156" s="15">
        <v>60</v>
      </c>
      <c r="K156" s="15">
        <v>41</v>
      </c>
      <c r="L156" s="15">
        <v>18</v>
      </c>
      <c r="M156" s="15">
        <v>48.8</v>
      </c>
    </row>
    <row r="157" spans="1:22" ht="15" customHeight="1" x14ac:dyDescent="0.2">
      <c r="A157" s="9" t="s">
        <v>996</v>
      </c>
      <c r="B157" s="9">
        <v>8</v>
      </c>
      <c r="C157" s="9" t="s">
        <v>241</v>
      </c>
      <c r="D157" s="9" t="s">
        <v>251</v>
      </c>
      <c r="E157" s="9" t="s">
        <v>260</v>
      </c>
      <c r="F157" s="9" t="s">
        <v>720</v>
      </c>
      <c r="G157" s="9" t="s">
        <v>1071</v>
      </c>
      <c r="I157" s="10">
        <v>0.8</v>
      </c>
      <c r="J157" s="15">
        <v>102</v>
      </c>
      <c r="K157" s="15">
        <v>68</v>
      </c>
      <c r="L157" s="15">
        <v>37</v>
      </c>
      <c r="M157" s="15">
        <v>230</v>
      </c>
      <c r="N157" s="9">
        <f t="shared" ref="N157:O159" si="12">K157/J157</f>
        <v>0.66666666666666663</v>
      </c>
      <c r="O157" s="9">
        <f t="shared" si="12"/>
        <v>0.54411764705882348</v>
      </c>
      <c r="P157" s="9" t="s">
        <v>722</v>
      </c>
      <c r="Q157" s="9" t="s">
        <v>1069</v>
      </c>
      <c r="R157" s="15">
        <v>17.18</v>
      </c>
      <c r="S157" s="15">
        <v>9.3699999999999992</v>
      </c>
      <c r="T157" s="15">
        <v>120</v>
      </c>
      <c r="U157" s="9">
        <v>1</v>
      </c>
      <c r="V157" s="9" t="s">
        <v>1070</v>
      </c>
    </row>
    <row r="158" spans="1:22" ht="15" customHeight="1" x14ac:dyDescent="0.2">
      <c r="A158" s="9" t="s">
        <v>898</v>
      </c>
      <c r="B158" s="9">
        <v>9</v>
      </c>
      <c r="C158" s="9" t="s">
        <v>242</v>
      </c>
      <c r="D158" s="9" t="s">
        <v>251</v>
      </c>
      <c r="E158" s="9" t="s">
        <v>261</v>
      </c>
      <c r="F158" s="9" t="s">
        <v>720</v>
      </c>
      <c r="G158" s="9" t="s">
        <v>1071</v>
      </c>
      <c r="I158" s="10">
        <v>0.85</v>
      </c>
      <c r="J158" s="15">
        <v>46</v>
      </c>
      <c r="K158" s="15">
        <v>42</v>
      </c>
      <c r="L158" s="15">
        <v>14</v>
      </c>
      <c r="M158" s="15">
        <v>38.1</v>
      </c>
      <c r="N158" s="9">
        <f t="shared" si="12"/>
        <v>0.91304347826086951</v>
      </c>
      <c r="O158" s="9">
        <f t="shared" si="12"/>
        <v>0.33333333333333331</v>
      </c>
      <c r="P158" s="9" t="s">
        <v>1077</v>
      </c>
      <c r="Q158" s="9" t="s">
        <v>966</v>
      </c>
      <c r="R158" s="15">
        <v>29</v>
      </c>
      <c r="S158" s="15">
        <v>13</v>
      </c>
      <c r="T158" s="15">
        <v>106</v>
      </c>
      <c r="U158" s="9">
        <v>1</v>
      </c>
      <c r="V158" s="9" t="s">
        <v>1103</v>
      </c>
    </row>
    <row r="159" spans="1:22" ht="15" customHeight="1" x14ac:dyDescent="0.2">
      <c r="A159" s="9" t="s">
        <v>899</v>
      </c>
      <c r="B159" s="9">
        <v>9</v>
      </c>
      <c r="C159" s="9" t="s">
        <v>242</v>
      </c>
      <c r="D159" s="9" t="s">
        <v>251</v>
      </c>
      <c r="E159" s="9" t="s">
        <v>261</v>
      </c>
      <c r="F159" s="9" t="s">
        <v>720</v>
      </c>
      <c r="G159" s="9" t="s">
        <v>1143</v>
      </c>
      <c r="I159" s="10">
        <v>0.35</v>
      </c>
      <c r="J159" s="15">
        <v>127</v>
      </c>
      <c r="K159" s="15">
        <v>93</v>
      </c>
      <c r="L159" s="15">
        <v>40</v>
      </c>
      <c r="M159" s="15">
        <v>470.6</v>
      </c>
      <c r="N159" s="9">
        <f t="shared" si="12"/>
        <v>0.73228346456692917</v>
      </c>
      <c r="O159" s="9">
        <f t="shared" si="12"/>
        <v>0.43010752688172044</v>
      </c>
      <c r="P159" s="9" t="s">
        <v>1081</v>
      </c>
      <c r="Q159" s="9" t="s">
        <v>966</v>
      </c>
      <c r="R159" s="15">
        <v>43</v>
      </c>
      <c r="S159" s="15">
        <v>10</v>
      </c>
      <c r="T159" s="15">
        <v>113</v>
      </c>
      <c r="U159" s="9">
        <v>3</v>
      </c>
      <c r="V159" s="9" t="s">
        <v>1082</v>
      </c>
    </row>
    <row r="160" spans="1:22" ht="15" customHeight="1" x14ac:dyDescent="0.2">
      <c r="A160" s="9" t="s">
        <v>900</v>
      </c>
      <c r="B160" s="9">
        <v>9</v>
      </c>
      <c r="C160" s="9" t="s">
        <v>242</v>
      </c>
      <c r="D160" s="9" t="s">
        <v>251</v>
      </c>
      <c r="E160" s="9" t="s">
        <v>262</v>
      </c>
      <c r="F160" s="9" t="s">
        <v>1061</v>
      </c>
      <c r="H160" s="9" t="s">
        <v>1089</v>
      </c>
      <c r="I160" s="10">
        <v>0.5</v>
      </c>
      <c r="J160" s="15">
        <v>88</v>
      </c>
      <c r="K160" s="15">
        <v>68</v>
      </c>
      <c r="L160" s="15">
        <v>35</v>
      </c>
      <c r="M160" s="15">
        <v>240.8</v>
      </c>
      <c r="Q160" s="9" t="s">
        <v>966</v>
      </c>
      <c r="R160" s="15">
        <v>54</v>
      </c>
      <c r="S160" s="15">
        <v>27</v>
      </c>
      <c r="T160" s="15">
        <v>128</v>
      </c>
    </row>
    <row r="161" spans="1:22" ht="15" customHeight="1" x14ac:dyDescent="0.2">
      <c r="A161" s="9" t="s">
        <v>901</v>
      </c>
      <c r="B161" s="9">
        <v>9</v>
      </c>
      <c r="C161" s="9" t="s">
        <v>242</v>
      </c>
      <c r="D161" s="9" t="s">
        <v>251</v>
      </c>
      <c r="E161" s="9" t="s">
        <v>260</v>
      </c>
      <c r="F161" s="9" t="s">
        <v>1061</v>
      </c>
      <c r="H161" s="9" t="s">
        <v>1102</v>
      </c>
      <c r="I161" s="10">
        <v>0.3</v>
      </c>
      <c r="J161" s="15">
        <v>78</v>
      </c>
      <c r="K161" s="15">
        <v>66</v>
      </c>
      <c r="L161" s="15">
        <v>37</v>
      </c>
      <c r="M161" s="15">
        <v>205.4</v>
      </c>
    </row>
    <row r="162" spans="1:22" ht="15" customHeight="1" x14ac:dyDescent="0.2">
      <c r="A162" s="9" t="s">
        <v>902</v>
      </c>
      <c r="B162" s="9">
        <v>9</v>
      </c>
      <c r="C162" s="9" t="s">
        <v>243</v>
      </c>
      <c r="D162" s="9" t="s">
        <v>251</v>
      </c>
      <c r="E162" s="9" t="s">
        <v>262</v>
      </c>
      <c r="F162" s="9" t="s">
        <v>720</v>
      </c>
      <c r="G162" s="9" t="s">
        <v>1071</v>
      </c>
      <c r="I162" s="10">
        <v>1</v>
      </c>
      <c r="J162" s="15">
        <v>62</v>
      </c>
      <c r="K162" s="15">
        <v>44</v>
      </c>
      <c r="L162" s="15">
        <v>25</v>
      </c>
      <c r="M162" s="15">
        <v>79.5</v>
      </c>
      <c r="N162" s="9">
        <f t="shared" ref="N162:O166" si="13">K162/J162</f>
        <v>0.70967741935483875</v>
      </c>
      <c r="O162" s="9">
        <f t="shared" si="13"/>
        <v>0.56818181818181823</v>
      </c>
      <c r="P162" s="9" t="s">
        <v>1086</v>
      </c>
      <c r="Q162" s="9" t="s">
        <v>1069</v>
      </c>
      <c r="R162" s="15">
        <v>43</v>
      </c>
      <c r="S162" s="15">
        <v>22</v>
      </c>
      <c r="T162" s="15">
        <v>108</v>
      </c>
      <c r="U162" s="9">
        <v>0</v>
      </c>
      <c r="V162" s="9" t="s">
        <v>721</v>
      </c>
    </row>
    <row r="163" spans="1:22" ht="15" customHeight="1" x14ac:dyDescent="0.2">
      <c r="A163" s="9" t="s">
        <v>116</v>
      </c>
      <c r="B163" s="9">
        <v>9</v>
      </c>
      <c r="C163" s="9" t="s">
        <v>243</v>
      </c>
      <c r="D163" s="9" t="s">
        <v>258</v>
      </c>
      <c r="E163" s="9" t="s">
        <v>261</v>
      </c>
      <c r="F163" s="9" t="s">
        <v>720</v>
      </c>
      <c r="G163" s="9" t="s">
        <v>1142</v>
      </c>
      <c r="I163" s="10">
        <v>0</v>
      </c>
      <c r="J163" s="15">
        <v>70</v>
      </c>
      <c r="K163" s="15">
        <v>57</v>
      </c>
      <c r="L163" s="15">
        <v>30</v>
      </c>
      <c r="M163" s="15">
        <v>122.8</v>
      </c>
      <c r="N163" s="9">
        <f t="shared" si="13"/>
        <v>0.81428571428571428</v>
      </c>
      <c r="O163" s="9">
        <f t="shared" si="13"/>
        <v>0.52631578947368418</v>
      </c>
      <c r="P163" s="9" t="s">
        <v>722</v>
      </c>
      <c r="Q163" s="9" t="s">
        <v>966</v>
      </c>
      <c r="R163" s="15">
        <v>60</v>
      </c>
      <c r="S163" s="15">
        <v>29</v>
      </c>
      <c r="T163" s="15">
        <v>85</v>
      </c>
      <c r="U163" s="9">
        <v>3</v>
      </c>
      <c r="V163" s="9" t="s">
        <v>1103</v>
      </c>
    </row>
    <row r="164" spans="1:22" ht="15" customHeight="1" x14ac:dyDescent="0.2">
      <c r="A164" s="9" t="s">
        <v>904</v>
      </c>
      <c r="B164" s="9">
        <v>9</v>
      </c>
      <c r="C164" s="9" t="s">
        <v>243</v>
      </c>
      <c r="D164" s="9" t="s">
        <v>251</v>
      </c>
      <c r="E164" s="9" t="s">
        <v>261</v>
      </c>
      <c r="F164" s="9" t="s">
        <v>720</v>
      </c>
      <c r="G164" s="9" t="s">
        <v>1071</v>
      </c>
      <c r="I164" s="10">
        <v>0.85</v>
      </c>
      <c r="J164" s="15">
        <v>104</v>
      </c>
      <c r="K164" s="15">
        <v>76</v>
      </c>
      <c r="L164" s="15">
        <v>33</v>
      </c>
      <c r="M164" s="15">
        <v>342.7</v>
      </c>
      <c r="N164" s="9">
        <f t="shared" si="13"/>
        <v>0.73076923076923073</v>
      </c>
      <c r="O164" s="9">
        <f t="shared" si="13"/>
        <v>0.43421052631578949</v>
      </c>
      <c r="P164" s="9" t="s">
        <v>722</v>
      </c>
      <c r="Q164" s="9" t="s">
        <v>966</v>
      </c>
      <c r="R164" s="15">
        <v>40</v>
      </c>
      <c r="S164" s="15">
        <v>15</v>
      </c>
      <c r="T164" s="15">
        <v>125</v>
      </c>
      <c r="U164" s="9">
        <v>1</v>
      </c>
      <c r="V164" s="9" t="s">
        <v>1103</v>
      </c>
    </row>
    <row r="165" spans="1:22" ht="15" customHeight="1" x14ac:dyDescent="0.2">
      <c r="A165" s="9" t="s">
        <v>905</v>
      </c>
      <c r="B165" s="9">
        <v>9</v>
      </c>
      <c r="C165" s="9" t="s">
        <v>243</v>
      </c>
      <c r="D165" s="9" t="s">
        <v>251</v>
      </c>
      <c r="E165" s="9" t="s">
        <v>261</v>
      </c>
      <c r="F165" s="9" t="s">
        <v>720</v>
      </c>
      <c r="G165" s="9" t="s">
        <v>1071</v>
      </c>
      <c r="I165" s="10">
        <v>1</v>
      </c>
      <c r="J165" s="15">
        <v>81</v>
      </c>
      <c r="K165" s="15">
        <v>68</v>
      </c>
      <c r="L165" s="15">
        <v>35</v>
      </c>
      <c r="M165" s="15">
        <v>190.1</v>
      </c>
      <c r="N165" s="9">
        <f t="shared" si="13"/>
        <v>0.83950617283950613</v>
      </c>
      <c r="O165" s="9">
        <f t="shared" si="13"/>
        <v>0.51470588235294112</v>
      </c>
      <c r="P165" s="9" t="s">
        <v>1084</v>
      </c>
      <c r="Q165" s="9" t="s">
        <v>1067</v>
      </c>
      <c r="R165" s="15">
        <v>59</v>
      </c>
      <c r="S165" s="15">
        <v>21</v>
      </c>
      <c r="T165" s="15">
        <v>129</v>
      </c>
      <c r="U165" s="9">
        <v>0</v>
      </c>
      <c r="V165" s="9" t="s">
        <v>721</v>
      </c>
    </row>
    <row r="166" spans="1:22" ht="15" customHeight="1" x14ac:dyDescent="0.2">
      <c r="A166" s="9" t="s">
        <v>938</v>
      </c>
      <c r="B166" s="9">
        <v>9</v>
      </c>
      <c r="C166" s="9" t="s">
        <v>242</v>
      </c>
      <c r="D166" s="9" t="s">
        <v>251</v>
      </c>
      <c r="E166" s="9" t="s">
        <v>262</v>
      </c>
      <c r="F166" s="9" t="s">
        <v>720</v>
      </c>
      <c r="G166" s="9" t="s">
        <v>1071</v>
      </c>
      <c r="I166" s="10">
        <v>0.7</v>
      </c>
      <c r="J166" s="15">
        <v>62</v>
      </c>
      <c r="K166" s="15">
        <v>49</v>
      </c>
      <c r="L166" s="15">
        <v>26</v>
      </c>
      <c r="M166" s="15">
        <v>73.099999999999994</v>
      </c>
      <c r="N166" s="9">
        <f t="shared" si="13"/>
        <v>0.79032258064516125</v>
      </c>
      <c r="O166" s="9">
        <f t="shared" si="13"/>
        <v>0.53061224489795922</v>
      </c>
      <c r="P166" s="9" t="s">
        <v>1084</v>
      </c>
      <c r="Q166" s="9" t="s">
        <v>1067</v>
      </c>
      <c r="R166" s="15">
        <v>38</v>
      </c>
      <c r="S166" s="15">
        <v>21</v>
      </c>
      <c r="T166" s="15">
        <v>128</v>
      </c>
      <c r="U166" s="9">
        <v>2</v>
      </c>
      <c r="V166" s="9" t="s">
        <v>1082</v>
      </c>
    </row>
    <row r="167" spans="1:22" ht="15" customHeight="1" x14ac:dyDescent="0.2">
      <c r="A167" s="9" t="s">
        <v>939</v>
      </c>
      <c r="B167" s="9">
        <v>9</v>
      </c>
      <c r="C167" s="9" t="s">
        <v>242</v>
      </c>
      <c r="D167" s="9" t="s">
        <v>255</v>
      </c>
      <c r="E167" s="9" t="s">
        <v>708</v>
      </c>
      <c r="F167" s="9" t="s">
        <v>1061</v>
      </c>
      <c r="H167" s="9" t="s">
        <v>1098</v>
      </c>
      <c r="I167" s="10">
        <v>1</v>
      </c>
      <c r="J167" s="15">
        <v>58</v>
      </c>
      <c r="K167" s="15">
        <v>75</v>
      </c>
      <c r="L167" s="15">
        <v>21</v>
      </c>
      <c r="M167" s="15">
        <v>124.1</v>
      </c>
    </row>
    <row r="168" spans="1:22" ht="15" customHeight="1" x14ac:dyDescent="0.2">
      <c r="A168" s="9" t="s">
        <v>940</v>
      </c>
      <c r="B168" s="9">
        <v>9</v>
      </c>
      <c r="C168" s="9" t="s">
        <v>242</v>
      </c>
      <c r="D168" s="9" t="s">
        <v>253</v>
      </c>
      <c r="E168" s="9" t="s">
        <v>260</v>
      </c>
      <c r="F168" s="9" t="s">
        <v>720</v>
      </c>
      <c r="G168" s="9" t="s">
        <v>1143</v>
      </c>
      <c r="I168" s="10">
        <v>0.4</v>
      </c>
      <c r="J168" s="15">
        <v>60</v>
      </c>
      <c r="K168" s="15">
        <v>50</v>
      </c>
      <c r="L168" s="15">
        <v>24</v>
      </c>
      <c r="M168" s="15">
        <v>81.2</v>
      </c>
      <c r="N168" s="9">
        <f>K168/J168</f>
        <v>0.83333333333333337</v>
      </c>
      <c r="O168" s="9">
        <f>L168/K168</f>
        <v>0.48</v>
      </c>
      <c r="P168" s="9" t="s">
        <v>1084</v>
      </c>
      <c r="Q168" s="9" t="s">
        <v>966</v>
      </c>
      <c r="R168" s="15">
        <v>5</v>
      </c>
      <c r="S168" s="15">
        <v>1</v>
      </c>
      <c r="U168" s="9">
        <v>5</v>
      </c>
      <c r="V168" s="9" t="s">
        <v>1082</v>
      </c>
    </row>
    <row r="169" spans="1:22" ht="15" customHeight="1" x14ac:dyDescent="0.2">
      <c r="A169" s="9" t="s">
        <v>941</v>
      </c>
      <c r="B169" s="9">
        <v>9</v>
      </c>
      <c r="C169" s="9" t="s">
        <v>243</v>
      </c>
      <c r="D169" s="9" t="s">
        <v>251</v>
      </c>
      <c r="E169" s="9" t="s">
        <v>263</v>
      </c>
      <c r="F169" s="9" t="s">
        <v>1061</v>
      </c>
      <c r="H169" s="9" t="s">
        <v>1089</v>
      </c>
      <c r="I169" s="10">
        <v>1</v>
      </c>
      <c r="J169" s="15">
        <v>58</v>
      </c>
      <c r="K169" s="15">
        <v>79</v>
      </c>
      <c r="L169" s="15">
        <v>27</v>
      </c>
      <c r="M169" s="15">
        <v>143.9</v>
      </c>
      <c r="Q169" s="9" t="s">
        <v>966</v>
      </c>
      <c r="R169" s="15">
        <v>40</v>
      </c>
      <c r="S169" s="15">
        <v>15</v>
      </c>
      <c r="T169" s="15">
        <v>99</v>
      </c>
    </row>
    <row r="170" spans="1:22" ht="15" customHeight="1" x14ac:dyDescent="0.2">
      <c r="A170" s="9" t="s">
        <v>942</v>
      </c>
      <c r="B170" s="9">
        <v>9</v>
      </c>
      <c r="C170" s="9" t="s">
        <v>243</v>
      </c>
      <c r="D170" s="9" t="s">
        <v>251</v>
      </c>
      <c r="E170" s="9" t="s">
        <v>262</v>
      </c>
      <c r="F170" s="9" t="s">
        <v>720</v>
      </c>
      <c r="G170" s="9" t="s">
        <v>1071</v>
      </c>
      <c r="I170" s="10">
        <v>0.95</v>
      </c>
      <c r="J170" s="15">
        <v>61</v>
      </c>
      <c r="K170" s="15">
        <v>49</v>
      </c>
      <c r="L170" s="15">
        <v>39</v>
      </c>
      <c r="M170" s="15">
        <v>199.5</v>
      </c>
      <c r="N170" s="9">
        <f t="shared" ref="N170:O175" si="14">K170/J170</f>
        <v>0.80327868852459017</v>
      </c>
      <c r="O170" s="9">
        <f t="shared" si="14"/>
        <v>0.79591836734693877</v>
      </c>
      <c r="P170" s="9" t="s">
        <v>1084</v>
      </c>
      <c r="Q170" s="9" t="s">
        <v>966</v>
      </c>
      <c r="R170" s="15">
        <v>39</v>
      </c>
      <c r="S170" s="15">
        <v>36</v>
      </c>
      <c r="T170" s="15">
        <v>103</v>
      </c>
      <c r="U170" s="9">
        <v>1</v>
      </c>
      <c r="V170" s="9" t="s">
        <v>1103</v>
      </c>
    </row>
    <row r="171" spans="1:22" ht="15" customHeight="1" x14ac:dyDescent="0.2">
      <c r="A171" s="9" t="s">
        <v>943</v>
      </c>
      <c r="B171" s="9">
        <v>9</v>
      </c>
      <c r="C171" s="9" t="s">
        <v>243</v>
      </c>
      <c r="D171" s="9" t="s">
        <v>251</v>
      </c>
      <c r="E171" s="9" t="s">
        <v>261</v>
      </c>
      <c r="F171" s="9" t="s">
        <v>720</v>
      </c>
      <c r="G171" s="9" t="s">
        <v>1071</v>
      </c>
      <c r="I171" s="10">
        <v>0.7</v>
      </c>
      <c r="J171" s="15">
        <v>77</v>
      </c>
      <c r="K171" s="15">
        <v>75</v>
      </c>
      <c r="L171" s="15">
        <v>23</v>
      </c>
      <c r="M171" s="15">
        <v>126.1</v>
      </c>
      <c r="N171" s="9">
        <f t="shared" si="14"/>
        <v>0.97402597402597402</v>
      </c>
      <c r="O171" s="9">
        <f t="shared" si="14"/>
        <v>0.30666666666666664</v>
      </c>
      <c r="P171" s="9" t="s">
        <v>1081</v>
      </c>
      <c r="Q171" s="9" t="s">
        <v>966</v>
      </c>
      <c r="R171" s="15">
        <v>59</v>
      </c>
      <c r="S171" s="15">
        <v>16</v>
      </c>
      <c r="T171" s="15">
        <v>122</v>
      </c>
      <c r="U171" s="9">
        <v>3</v>
      </c>
      <c r="V171" s="9" t="s">
        <v>1103</v>
      </c>
    </row>
    <row r="172" spans="1:22" ht="15" customHeight="1" x14ac:dyDescent="0.2">
      <c r="A172" s="9" t="s">
        <v>959</v>
      </c>
      <c r="B172" s="9">
        <v>9</v>
      </c>
      <c r="C172" s="9" t="s">
        <v>243</v>
      </c>
      <c r="D172" s="9" t="s">
        <v>251</v>
      </c>
      <c r="E172" s="9" t="s">
        <v>262</v>
      </c>
      <c r="F172" s="9" t="s">
        <v>720</v>
      </c>
      <c r="G172" s="9" t="s">
        <v>1142</v>
      </c>
      <c r="I172" s="10">
        <v>0.2</v>
      </c>
      <c r="J172" s="15">
        <v>62</v>
      </c>
      <c r="K172" s="15">
        <v>42</v>
      </c>
      <c r="L172" s="15">
        <v>21</v>
      </c>
      <c r="M172" s="15">
        <v>57.1</v>
      </c>
      <c r="N172" s="9">
        <f t="shared" si="14"/>
        <v>0.67741935483870963</v>
      </c>
      <c r="O172" s="9">
        <f t="shared" si="14"/>
        <v>0.5</v>
      </c>
      <c r="P172" s="9" t="s">
        <v>1084</v>
      </c>
      <c r="Q172" s="9" t="s">
        <v>966</v>
      </c>
      <c r="R172" s="15">
        <v>45</v>
      </c>
      <c r="S172" s="15">
        <v>16</v>
      </c>
      <c r="T172" s="15">
        <v>102</v>
      </c>
      <c r="U172" s="9">
        <v>3</v>
      </c>
      <c r="V172" s="9" t="s">
        <v>1070</v>
      </c>
    </row>
    <row r="173" spans="1:22" ht="15" customHeight="1" x14ac:dyDescent="0.2">
      <c r="A173" s="9" t="s">
        <v>961</v>
      </c>
      <c r="B173" s="9">
        <v>9</v>
      </c>
      <c r="C173" s="9" t="s">
        <v>243</v>
      </c>
      <c r="D173" s="9" t="s">
        <v>251</v>
      </c>
      <c r="E173" s="9" t="s">
        <v>260</v>
      </c>
      <c r="F173" s="9" t="s">
        <v>720</v>
      </c>
      <c r="G173" s="9" t="s">
        <v>1071</v>
      </c>
      <c r="I173" s="10">
        <v>1</v>
      </c>
      <c r="J173" s="15">
        <v>73</v>
      </c>
      <c r="K173" s="15">
        <v>65</v>
      </c>
      <c r="L173" s="15">
        <v>25</v>
      </c>
      <c r="M173" s="15">
        <v>103.6</v>
      </c>
      <c r="N173" s="9">
        <f t="shared" si="14"/>
        <v>0.8904109589041096</v>
      </c>
      <c r="O173" s="9">
        <f t="shared" si="14"/>
        <v>0.38461538461538464</v>
      </c>
      <c r="P173" s="9" t="s">
        <v>1084</v>
      </c>
      <c r="Q173" s="9" t="s">
        <v>1067</v>
      </c>
      <c r="R173" s="15">
        <v>49</v>
      </c>
      <c r="S173" s="15">
        <v>12</v>
      </c>
      <c r="T173" s="15">
        <v>121</v>
      </c>
      <c r="U173" s="9">
        <v>0</v>
      </c>
      <c r="V173" s="9" t="s">
        <v>721</v>
      </c>
    </row>
    <row r="174" spans="1:22" ht="15" customHeight="1" x14ac:dyDescent="0.2">
      <c r="A174" s="9" t="s">
        <v>962</v>
      </c>
      <c r="B174" s="9">
        <v>9</v>
      </c>
      <c r="C174" s="9" t="s">
        <v>243</v>
      </c>
      <c r="D174" s="9" t="s">
        <v>251</v>
      </c>
      <c r="E174" s="9" t="s">
        <v>261</v>
      </c>
      <c r="F174" s="9" t="s">
        <v>720</v>
      </c>
      <c r="G174" s="9" t="s">
        <v>1071</v>
      </c>
      <c r="I174" s="10">
        <v>0.9</v>
      </c>
      <c r="J174" s="15">
        <v>44</v>
      </c>
      <c r="K174" s="15">
        <v>43</v>
      </c>
      <c r="L174" s="15">
        <v>19</v>
      </c>
      <c r="M174" s="15">
        <v>42.4</v>
      </c>
      <c r="N174" s="9">
        <f t="shared" si="14"/>
        <v>0.97727272727272729</v>
      </c>
      <c r="O174" s="9">
        <f t="shared" si="14"/>
        <v>0.44186046511627908</v>
      </c>
      <c r="P174" s="9" t="s">
        <v>1084</v>
      </c>
      <c r="Q174" s="9" t="s">
        <v>1067</v>
      </c>
      <c r="R174" s="15">
        <v>27</v>
      </c>
      <c r="S174" s="15">
        <v>12</v>
      </c>
      <c r="T174" s="15">
        <v>96</v>
      </c>
      <c r="U174" s="9">
        <v>2</v>
      </c>
      <c r="V174" s="9" t="s">
        <v>1103</v>
      </c>
    </row>
    <row r="175" spans="1:22" ht="15" customHeight="1" x14ac:dyDescent="0.2">
      <c r="A175" s="9" t="s">
        <v>983</v>
      </c>
      <c r="B175" s="9">
        <v>9</v>
      </c>
      <c r="C175" s="9" t="s">
        <v>242</v>
      </c>
      <c r="D175" s="9" t="s">
        <v>257</v>
      </c>
      <c r="E175" s="9" t="s">
        <v>760</v>
      </c>
      <c r="F175" s="9" t="s">
        <v>720</v>
      </c>
      <c r="G175" s="9" t="s">
        <v>1071</v>
      </c>
      <c r="I175" s="10">
        <v>1</v>
      </c>
      <c r="J175" s="15">
        <v>68</v>
      </c>
      <c r="K175" s="15">
        <v>66</v>
      </c>
      <c r="L175" s="15">
        <v>27</v>
      </c>
      <c r="M175" s="15">
        <v>161.69999999999999</v>
      </c>
      <c r="N175" s="9">
        <f t="shared" si="14"/>
        <v>0.97058823529411764</v>
      </c>
      <c r="O175" s="9">
        <f t="shared" si="14"/>
        <v>0.40909090909090912</v>
      </c>
      <c r="P175" s="9" t="s">
        <v>1086</v>
      </c>
      <c r="Q175" s="9" t="s">
        <v>1087</v>
      </c>
      <c r="U175" s="9">
        <v>0</v>
      </c>
      <c r="V175" s="9" t="s">
        <v>721</v>
      </c>
    </row>
    <row r="176" spans="1:22" ht="15" customHeight="1" x14ac:dyDescent="0.2">
      <c r="A176" s="9" t="s">
        <v>984</v>
      </c>
      <c r="B176" s="9">
        <v>9</v>
      </c>
      <c r="C176" s="9" t="s">
        <v>242</v>
      </c>
      <c r="D176" s="9" t="s">
        <v>251</v>
      </c>
      <c r="E176" s="9" t="s">
        <v>260</v>
      </c>
      <c r="F176" s="9" t="s">
        <v>1061</v>
      </c>
      <c r="H176" s="9" t="s">
        <v>1064</v>
      </c>
      <c r="I176" s="10">
        <v>0.75</v>
      </c>
      <c r="J176" s="15">
        <v>90</v>
      </c>
      <c r="K176" s="15">
        <v>60</v>
      </c>
      <c r="L176" s="15">
        <v>39</v>
      </c>
      <c r="M176" s="15">
        <v>274.2</v>
      </c>
    </row>
    <row r="177" spans="1:22" ht="15" customHeight="1" x14ac:dyDescent="0.2">
      <c r="A177" s="9" t="s">
        <v>985</v>
      </c>
      <c r="B177" s="9">
        <v>9</v>
      </c>
      <c r="C177" s="9" t="s">
        <v>242</v>
      </c>
      <c r="D177" s="9" t="s">
        <v>251</v>
      </c>
      <c r="E177" s="9" t="s">
        <v>261</v>
      </c>
      <c r="F177" s="9" t="s">
        <v>1061</v>
      </c>
      <c r="H177" s="9" t="s">
        <v>1088</v>
      </c>
      <c r="I177" s="10">
        <v>0.7</v>
      </c>
      <c r="J177" s="15">
        <v>83</v>
      </c>
      <c r="K177" s="15">
        <v>47</v>
      </c>
      <c r="L177" s="15">
        <v>18</v>
      </c>
      <c r="M177" s="15">
        <v>74.900000000000006</v>
      </c>
    </row>
    <row r="178" spans="1:22" ht="15" customHeight="1" x14ac:dyDescent="0.2">
      <c r="A178" s="9" t="s">
        <v>1075</v>
      </c>
      <c r="B178" s="9">
        <v>9</v>
      </c>
      <c r="C178" s="9" t="s">
        <v>243</v>
      </c>
      <c r="D178" s="9" t="s">
        <v>251</v>
      </c>
      <c r="E178" s="9" t="s">
        <v>260</v>
      </c>
      <c r="F178" s="9" t="s">
        <v>720</v>
      </c>
      <c r="G178" s="9" t="s">
        <v>1076</v>
      </c>
      <c r="I178" s="10">
        <v>0.5</v>
      </c>
      <c r="J178" s="15">
        <v>76</v>
      </c>
      <c r="K178" s="15">
        <v>38</v>
      </c>
      <c r="L178" s="15">
        <v>31</v>
      </c>
      <c r="M178" s="15">
        <v>86.4</v>
      </c>
      <c r="N178" s="9">
        <f>K178/J178</f>
        <v>0.5</v>
      </c>
      <c r="O178" s="9">
        <f>L178/K178</f>
        <v>0.81578947368421051</v>
      </c>
      <c r="P178" s="9" t="s">
        <v>1077</v>
      </c>
      <c r="Q178" s="9" t="s">
        <v>1069</v>
      </c>
      <c r="R178" s="15">
        <v>34.409999999999997</v>
      </c>
      <c r="S178" s="15">
        <v>26.08</v>
      </c>
      <c r="T178" s="15">
        <v>132</v>
      </c>
      <c r="V178" s="9" t="s">
        <v>1078</v>
      </c>
    </row>
    <row r="179" spans="1:22" ht="15" customHeight="1" x14ac:dyDescent="0.2">
      <c r="A179" s="9" t="s">
        <v>734</v>
      </c>
      <c r="B179" s="9">
        <v>9</v>
      </c>
      <c r="C179" s="9" t="s">
        <v>243</v>
      </c>
      <c r="D179" s="9" t="s">
        <v>251</v>
      </c>
      <c r="E179" s="9" t="s">
        <v>261</v>
      </c>
      <c r="F179" s="9" t="s">
        <v>1061</v>
      </c>
      <c r="H179" s="9" t="s">
        <v>1088</v>
      </c>
      <c r="I179" s="10">
        <v>0.6</v>
      </c>
      <c r="J179" s="15">
        <v>44</v>
      </c>
      <c r="K179" s="15">
        <v>44</v>
      </c>
      <c r="L179" s="15">
        <v>31</v>
      </c>
      <c r="M179" s="15">
        <v>74.099999999999994</v>
      </c>
    </row>
    <row r="180" spans="1:22" ht="15" customHeight="1" x14ac:dyDescent="0.2">
      <c r="A180" s="9" t="s">
        <v>997</v>
      </c>
      <c r="B180" s="9">
        <v>9</v>
      </c>
      <c r="C180" s="9" t="s">
        <v>242</v>
      </c>
      <c r="D180" s="9" t="s">
        <v>251</v>
      </c>
      <c r="E180" s="9" t="s">
        <v>260</v>
      </c>
      <c r="F180" s="9" t="s">
        <v>1061</v>
      </c>
      <c r="H180" s="9" t="s">
        <v>1065</v>
      </c>
      <c r="I180" s="10">
        <v>0.25</v>
      </c>
      <c r="J180" s="15">
        <v>80.069999999999993</v>
      </c>
      <c r="K180" s="15">
        <v>51.43</v>
      </c>
      <c r="L180" s="15">
        <v>32</v>
      </c>
      <c r="M180" s="15">
        <v>131.30000000000001</v>
      </c>
      <c r="Q180" s="9" t="s">
        <v>1069</v>
      </c>
      <c r="R180" s="15">
        <v>72.8</v>
      </c>
      <c r="S180" s="15">
        <v>25.12</v>
      </c>
      <c r="T180" s="15">
        <v>119</v>
      </c>
      <c r="U180" s="9">
        <v>1</v>
      </c>
      <c r="V180" s="9" t="s">
        <v>1070</v>
      </c>
    </row>
    <row r="181" spans="1:22" ht="15" customHeight="1" x14ac:dyDescent="0.2">
      <c r="A181" s="9" t="s">
        <v>998</v>
      </c>
      <c r="B181" s="9">
        <v>9</v>
      </c>
      <c r="C181" s="9" t="s">
        <v>243</v>
      </c>
      <c r="D181" s="9" t="s">
        <v>251</v>
      </c>
      <c r="E181" s="9" t="s">
        <v>260</v>
      </c>
      <c r="F181" s="9" t="s">
        <v>1061</v>
      </c>
      <c r="H181" s="9" t="s">
        <v>1064</v>
      </c>
      <c r="I181" s="10">
        <v>0.6</v>
      </c>
      <c r="J181" s="15">
        <v>104</v>
      </c>
      <c r="K181" s="15">
        <v>70</v>
      </c>
      <c r="L181" s="15">
        <v>25</v>
      </c>
      <c r="M181" s="15">
        <v>183.5</v>
      </c>
    </row>
    <row r="182" spans="1:22" ht="15" customHeight="1" x14ac:dyDescent="0.2">
      <c r="A182" s="9" t="s">
        <v>999</v>
      </c>
      <c r="B182" s="9">
        <v>9</v>
      </c>
      <c r="C182" s="9" t="s">
        <v>243</v>
      </c>
      <c r="D182" s="9" t="s">
        <v>251</v>
      </c>
      <c r="E182" s="9" t="s">
        <v>261</v>
      </c>
      <c r="F182" s="9" t="s">
        <v>720</v>
      </c>
      <c r="G182" s="9" t="s">
        <v>1071</v>
      </c>
      <c r="I182" s="10">
        <v>0.7</v>
      </c>
      <c r="J182" s="15">
        <v>65</v>
      </c>
      <c r="K182" s="15">
        <v>62</v>
      </c>
      <c r="L182" s="15">
        <v>22</v>
      </c>
      <c r="M182" s="15">
        <v>104.3</v>
      </c>
      <c r="N182" s="9">
        <f>K182/J182</f>
        <v>0.9538461538461539</v>
      </c>
      <c r="O182" s="9">
        <f>L182/K182</f>
        <v>0.35483870967741937</v>
      </c>
      <c r="P182" s="9" t="s">
        <v>1077</v>
      </c>
      <c r="Q182" s="9" t="s">
        <v>1069</v>
      </c>
      <c r="R182" s="15">
        <v>44.58</v>
      </c>
      <c r="S182" s="15">
        <v>18.05</v>
      </c>
      <c r="T182" s="15">
        <v>126</v>
      </c>
      <c r="U182" s="9">
        <v>3</v>
      </c>
      <c r="V182" s="9" t="s">
        <v>1082</v>
      </c>
    </row>
    <row r="183" spans="1:22" ht="15" customHeight="1" x14ac:dyDescent="0.2">
      <c r="A183" s="9" t="s">
        <v>1012</v>
      </c>
      <c r="B183" s="9">
        <v>9</v>
      </c>
      <c r="C183" s="9" t="s">
        <v>243</v>
      </c>
      <c r="D183" s="9" t="s">
        <v>251</v>
      </c>
      <c r="E183" s="9" t="s">
        <v>261</v>
      </c>
      <c r="F183" s="9" t="s">
        <v>720</v>
      </c>
      <c r="G183" s="9" t="s">
        <v>1071</v>
      </c>
      <c r="I183" s="10">
        <v>0.9</v>
      </c>
      <c r="J183" s="15">
        <v>79</v>
      </c>
      <c r="K183" s="15">
        <v>56</v>
      </c>
      <c r="L183" s="15">
        <v>26</v>
      </c>
      <c r="M183" s="15">
        <v>97.4</v>
      </c>
      <c r="N183" s="9">
        <f>K183/J183</f>
        <v>0.70886075949367089</v>
      </c>
      <c r="O183" s="9">
        <f>L183/K183</f>
        <v>0.4642857142857143</v>
      </c>
      <c r="P183" s="9" t="s">
        <v>722</v>
      </c>
      <c r="Q183" s="9" t="s">
        <v>1073</v>
      </c>
      <c r="R183" s="15">
        <v>28.61</v>
      </c>
      <c r="S183" s="15">
        <v>17</v>
      </c>
      <c r="T183" s="15">
        <v>134</v>
      </c>
      <c r="U183" s="9">
        <v>2</v>
      </c>
      <c r="V183" s="9" t="s">
        <v>1070</v>
      </c>
    </row>
    <row r="184" spans="1:22" ht="15" customHeight="1" x14ac:dyDescent="0.2">
      <c r="A184" s="9" t="s">
        <v>983</v>
      </c>
      <c r="B184" s="9">
        <v>9</v>
      </c>
      <c r="C184" s="9" t="s">
        <v>242</v>
      </c>
      <c r="D184" s="9" t="s">
        <v>254</v>
      </c>
      <c r="E184" s="9" t="s">
        <v>260</v>
      </c>
      <c r="F184" s="9" t="s">
        <v>1061</v>
      </c>
      <c r="H184" s="9" t="s">
        <v>1064</v>
      </c>
      <c r="I184" s="10">
        <v>0.7</v>
      </c>
      <c r="J184" s="15">
        <v>120</v>
      </c>
      <c r="K184" s="15">
        <v>89</v>
      </c>
      <c r="L184" s="15">
        <v>36</v>
      </c>
      <c r="M184" s="15">
        <v>449</v>
      </c>
    </row>
    <row r="185" spans="1:22" ht="15" customHeight="1" x14ac:dyDescent="0.2">
      <c r="A185" s="9" t="s">
        <v>1030</v>
      </c>
      <c r="B185" s="9">
        <v>9</v>
      </c>
      <c r="C185" s="9" t="s">
        <v>242</v>
      </c>
      <c r="D185" s="9" t="s">
        <v>251</v>
      </c>
      <c r="E185" s="9" t="s">
        <v>262</v>
      </c>
      <c r="F185" s="9" t="s">
        <v>1061</v>
      </c>
      <c r="H185" s="9" t="s">
        <v>1065</v>
      </c>
      <c r="I185" s="10">
        <v>0.85</v>
      </c>
      <c r="J185" s="15">
        <v>62</v>
      </c>
      <c r="K185" s="15">
        <v>60</v>
      </c>
      <c r="L185" s="15">
        <v>29</v>
      </c>
      <c r="M185" s="15">
        <v>96.5</v>
      </c>
    </row>
    <row r="186" spans="1:22" ht="15" customHeight="1" x14ac:dyDescent="0.2">
      <c r="A186" s="9" t="s">
        <v>1031</v>
      </c>
      <c r="B186" s="9">
        <v>9</v>
      </c>
      <c r="C186" s="9" t="s">
        <v>242</v>
      </c>
      <c r="D186" s="9" t="s">
        <v>257</v>
      </c>
      <c r="E186" s="9" t="s">
        <v>261</v>
      </c>
      <c r="F186" s="9" t="s">
        <v>1061</v>
      </c>
      <c r="H186" s="9" t="s">
        <v>1062</v>
      </c>
      <c r="I186" s="10">
        <v>0.55000000000000004</v>
      </c>
      <c r="J186" s="15">
        <v>81</v>
      </c>
      <c r="K186" s="15">
        <v>65</v>
      </c>
      <c r="L186" s="15">
        <v>23</v>
      </c>
      <c r="M186" s="15">
        <v>119.5</v>
      </c>
    </row>
    <row r="187" spans="1:22" ht="15" customHeight="1" x14ac:dyDescent="0.2">
      <c r="A187" s="9" t="s">
        <v>1032</v>
      </c>
      <c r="B187" s="9">
        <v>9</v>
      </c>
      <c r="C187" s="9" t="s">
        <v>243</v>
      </c>
      <c r="D187" s="9" t="s">
        <v>257</v>
      </c>
      <c r="E187" s="9" t="s">
        <v>262</v>
      </c>
      <c r="F187" s="9" t="s">
        <v>1061</v>
      </c>
      <c r="H187" s="9" t="s">
        <v>1064</v>
      </c>
      <c r="I187" s="10">
        <v>0.3</v>
      </c>
      <c r="J187" s="15">
        <v>41</v>
      </c>
      <c r="K187" s="15">
        <v>30</v>
      </c>
      <c r="L187" s="15">
        <v>16</v>
      </c>
      <c r="M187" s="15">
        <v>38.6</v>
      </c>
    </row>
    <row r="188" spans="1:22" ht="15" customHeight="1" x14ac:dyDescent="0.2">
      <c r="A188" s="9" t="s">
        <v>1033</v>
      </c>
      <c r="B188" s="9">
        <v>9</v>
      </c>
      <c r="C188" s="9" t="s">
        <v>243</v>
      </c>
      <c r="D188" s="9" t="s">
        <v>254</v>
      </c>
      <c r="E188" s="9" t="s">
        <v>262</v>
      </c>
      <c r="F188" s="9" t="s">
        <v>1061</v>
      </c>
      <c r="H188" s="9" t="s">
        <v>1064</v>
      </c>
      <c r="I188" s="10">
        <v>1</v>
      </c>
      <c r="J188" s="15">
        <v>55</v>
      </c>
      <c r="K188" s="15">
        <v>45</v>
      </c>
      <c r="L188" s="15">
        <v>20</v>
      </c>
      <c r="M188" s="15">
        <v>56.7</v>
      </c>
    </row>
    <row r="189" spans="1:22" ht="15" customHeight="1" x14ac:dyDescent="0.2">
      <c r="A189" s="9" t="s">
        <v>1052</v>
      </c>
      <c r="B189" s="9">
        <v>9</v>
      </c>
      <c r="C189" s="9" t="s">
        <v>243</v>
      </c>
      <c r="D189" s="9" t="s">
        <v>251</v>
      </c>
      <c r="E189" s="9" t="s">
        <v>262</v>
      </c>
      <c r="F189" s="9" t="s">
        <v>1061</v>
      </c>
      <c r="H189" s="9" t="s">
        <v>1065</v>
      </c>
      <c r="I189" s="10">
        <v>0.3</v>
      </c>
      <c r="J189" s="15">
        <v>42</v>
      </c>
      <c r="K189" s="15">
        <v>63</v>
      </c>
      <c r="L189" s="15">
        <v>26</v>
      </c>
      <c r="M189" s="15">
        <v>65.2</v>
      </c>
    </row>
    <row r="190" spans="1:22" ht="15" customHeight="1" x14ac:dyDescent="0.2">
      <c r="A190" s="9" t="s">
        <v>907</v>
      </c>
      <c r="B190" s="9">
        <v>11</v>
      </c>
      <c r="C190" s="9" t="s">
        <v>246</v>
      </c>
      <c r="D190" s="9" t="s">
        <v>253</v>
      </c>
      <c r="E190" s="9" t="s">
        <v>261</v>
      </c>
      <c r="F190" s="9" t="s">
        <v>720</v>
      </c>
      <c r="G190" s="9" t="s">
        <v>1142</v>
      </c>
      <c r="I190" s="10">
        <v>0.3</v>
      </c>
      <c r="J190" s="15">
        <v>96</v>
      </c>
      <c r="K190" s="15">
        <v>84</v>
      </c>
      <c r="L190" s="15">
        <v>36</v>
      </c>
      <c r="M190" s="15">
        <v>298</v>
      </c>
      <c r="N190" s="9">
        <f t="shared" ref="N190:O197" si="15">K190/J190</f>
        <v>0.875</v>
      </c>
      <c r="O190" s="9">
        <f t="shared" si="15"/>
        <v>0.42857142857142855</v>
      </c>
      <c r="P190" s="9" t="s">
        <v>722</v>
      </c>
      <c r="Q190" s="9" t="s">
        <v>723</v>
      </c>
      <c r="U190" s="9">
        <v>3</v>
      </c>
      <c r="V190" s="9" t="s">
        <v>1103</v>
      </c>
    </row>
    <row r="191" spans="1:22" ht="15" customHeight="1" x14ac:dyDescent="0.2">
      <c r="A191" s="9" t="s">
        <v>908</v>
      </c>
      <c r="B191" s="9">
        <v>11</v>
      </c>
      <c r="C191" s="9" t="s">
        <v>246</v>
      </c>
      <c r="D191" s="9" t="s">
        <v>251</v>
      </c>
      <c r="E191" s="9" t="s">
        <v>262</v>
      </c>
      <c r="F191" s="9" t="s">
        <v>720</v>
      </c>
      <c r="G191" s="9" t="s">
        <v>1071</v>
      </c>
      <c r="I191" s="10">
        <v>0.95</v>
      </c>
      <c r="J191" s="15">
        <v>58</v>
      </c>
      <c r="K191" s="15">
        <v>53</v>
      </c>
      <c r="L191" s="15">
        <v>18</v>
      </c>
      <c r="M191" s="15">
        <v>54.1</v>
      </c>
      <c r="N191" s="9">
        <f t="shared" si="15"/>
        <v>0.91379310344827591</v>
      </c>
      <c r="O191" s="9">
        <f t="shared" si="15"/>
        <v>0.33962264150943394</v>
      </c>
      <c r="P191" s="9" t="s">
        <v>1084</v>
      </c>
      <c r="Q191" s="9" t="s">
        <v>1067</v>
      </c>
      <c r="R191" s="15">
        <v>42</v>
      </c>
      <c r="S191" s="15">
        <v>14</v>
      </c>
      <c r="T191" s="15">
        <v>113</v>
      </c>
      <c r="U191" s="9">
        <v>0</v>
      </c>
      <c r="V191" s="9" t="s">
        <v>721</v>
      </c>
    </row>
    <row r="192" spans="1:22" ht="15" customHeight="1" x14ac:dyDescent="0.2">
      <c r="A192" s="9" t="s">
        <v>909</v>
      </c>
      <c r="B192" s="9">
        <v>11</v>
      </c>
      <c r="C192" s="9" t="s">
        <v>246</v>
      </c>
      <c r="D192" s="9" t="s">
        <v>251</v>
      </c>
      <c r="E192" s="9" t="s">
        <v>260</v>
      </c>
      <c r="F192" s="9" t="s">
        <v>720</v>
      </c>
      <c r="G192" s="9" t="s">
        <v>1142</v>
      </c>
      <c r="I192" s="10">
        <v>0.35</v>
      </c>
      <c r="J192" s="15">
        <v>51</v>
      </c>
      <c r="K192" s="15">
        <v>44</v>
      </c>
      <c r="L192" s="15">
        <v>20</v>
      </c>
      <c r="M192" s="15">
        <v>42.5</v>
      </c>
      <c r="N192" s="9">
        <f t="shared" si="15"/>
        <v>0.86274509803921573</v>
      </c>
      <c r="O192" s="9">
        <f t="shared" si="15"/>
        <v>0.45454545454545453</v>
      </c>
      <c r="P192" s="9" t="s">
        <v>1081</v>
      </c>
      <c r="Q192" s="9" t="s">
        <v>1067</v>
      </c>
      <c r="R192" s="15">
        <v>12</v>
      </c>
      <c r="S192" s="15">
        <v>7</v>
      </c>
      <c r="T192" s="15">
        <v>118</v>
      </c>
      <c r="U192" s="9">
        <v>3</v>
      </c>
      <c r="V192" s="9" t="s">
        <v>1070</v>
      </c>
    </row>
    <row r="193" spans="1:22" ht="15" customHeight="1" x14ac:dyDescent="0.2">
      <c r="A193" s="9" t="s">
        <v>910</v>
      </c>
      <c r="B193" s="9">
        <v>11</v>
      </c>
      <c r="C193" s="9" t="s">
        <v>246</v>
      </c>
      <c r="D193" s="9" t="s">
        <v>251</v>
      </c>
      <c r="E193" s="9" t="s">
        <v>261</v>
      </c>
      <c r="F193" s="9" t="s">
        <v>720</v>
      </c>
      <c r="G193" s="9" t="s">
        <v>1071</v>
      </c>
      <c r="I193" s="10">
        <v>0.8</v>
      </c>
      <c r="J193" s="15">
        <v>95</v>
      </c>
      <c r="K193" s="15">
        <v>78</v>
      </c>
      <c r="L193" s="15">
        <v>29</v>
      </c>
      <c r="M193" s="15">
        <v>265.39999999999998</v>
      </c>
      <c r="N193" s="9">
        <f t="shared" si="15"/>
        <v>0.82105263157894737</v>
      </c>
      <c r="O193" s="9">
        <f t="shared" si="15"/>
        <v>0.37179487179487181</v>
      </c>
      <c r="P193" s="9" t="s">
        <v>1077</v>
      </c>
      <c r="Q193" s="9" t="s">
        <v>1067</v>
      </c>
      <c r="R193" s="15">
        <v>60</v>
      </c>
      <c r="S193" s="15">
        <v>25</v>
      </c>
      <c r="T193" s="15">
        <v>104</v>
      </c>
      <c r="U193" s="9">
        <v>1</v>
      </c>
      <c r="V193" s="9" t="s">
        <v>1103</v>
      </c>
    </row>
    <row r="194" spans="1:22" ht="15" customHeight="1" x14ac:dyDescent="0.2">
      <c r="A194" s="9" t="s">
        <v>911</v>
      </c>
      <c r="B194" s="9">
        <v>11</v>
      </c>
      <c r="C194" s="9" t="s">
        <v>246</v>
      </c>
      <c r="D194" s="9" t="s">
        <v>258</v>
      </c>
      <c r="E194" s="9" t="s">
        <v>260</v>
      </c>
      <c r="F194" s="9" t="s">
        <v>720</v>
      </c>
      <c r="G194" s="9" t="s">
        <v>1149</v>
      </c>
      <c r="I194" s="10">
        <v>0.6</v>
      </c>
      <c r="J194" s="15">
        <v>56</v>
      </c>
      <c r="K194" s="15">
        <v>53</v>
      </c>
      <c r="L194" s="15">
        <v>19</v>
      </c>
      <c r="M194" s="15">
        <v>56.5</v>
      </c>
      <c r="N194" s="9">
        <f t="shared" si="15"/>
        <v>0.9464285714285714</v>
      </c>
      <c r="O194" s="9">
        <f t="shared" si="15"/>
        <v>0.35849056603773582</v>
      </c>
      <c r="P194" s="9" t="s">
        <v>1077</v>
      </c>
      <c r="Q194" s="9" t="s">
        <v>1067</v>
      </c>
      <c r="R194" s="15">
        <v>18</v>
      </c>
      <c r="S194" s="15">
        <v>4</v>
      </c>
      <c r="T194" s="15">
        <v>121</v>
      </c>
      <c r="U194" s="9">
        <v>0</v>
      </c>
      <c r="V194" s="9" t="s">
        <v>1078</v>
      </c>
    </row>
    <row r="195" spans="1:22" ht="15" customHeight="1" x14ac:dyDescent="0.2">
      <c r="A195" s="9" t="s">
        <v>944</v>
      </c>
      <c r="B195" s="9">
        <v>11</v>
      </c>
      <c r="C195" s="9" t="s">
        <v>245</v>
      </c>
      <c r="D195" s="9" t="s">
        <v>258</v>
      </c>
      <c r="E195" s="9" t="s">
        <v>262</v>
      </c>
      <c r="F195" s="9" t="s">
        <v>720</v>
      </c>
      <c r="G195" s="9" t="s">
        <v>1142</v>
      </c>
      <c r="I195" s="10">
        <v>0.1</v>
      </c>
      <c r="J195" s="15">
        <v>65</v>
      </c>
      <c r="K195" s="15">
        <v>49</v>
      </c>
      <c r="L195" s="15">
        <v>20</v>
      </c>
      <c r="M195" s="15">
        <v>71.400000000000006</v>
      </c>
      <c r="N195" s="9">
        <f t="shared" si="15"/>
        <v>0.75384615384615383</v>
      </c>
      <c r="O195" s="9">
        <f t="shared" si="15"/>
        <v>0.40816326530612246</v>
      </c>
      <c r="P195" s="9" t="s">
        <v>1086</v>
      </c>
      <c r="Q195" s="9" t="s">
        <v>966</v>
      </c>
      <c r="R195" s="15">
        <v>51</v>
      </c>
      <c r="S195" s="15">
        <v>20</v>
      </c>
      <c r="T195" s="15">
        <v>98</v>
      </c>
      <c r="U195" s="9">
        <v>1</v>
      </c>
      <c r="V195" s="9" t="s">
        <v>1103</v>
      </c>
    </row>
    <row r="196" spans="1:22" ht="15" customHeight="1" x14ac:dyDescent="0.2">
      <c r="A196" s="9" t="s">
        <v>945</v>
      </c>
      <c r="B196" s="9">
        <v>11</v>
      </c>
      <c r="C196" s="9" t="s">
        <v>246</v>
      </c>
      <c r="D196" s="9" t="s">
        <v>255</v>
      </c>
      <c r="E196" s="9" t="s">
        <v>708</v>
      </c>
      <c r="F196" s="9" t="s">
        <v>720</v>
      </c>
      <c r="G196" s="9" t="s">
        <v>1142</v>
      </c>
      <c r="I196" s="10">
        <v>0.1</v>
      </c>
      <c r="J196" s="15">
        <v>61</v>
      </c>
      <c r="K196" s="15">
        <v>39</v>
      </c>
      <c r="L196" s="15">
        <v>18</v>
      </c>
      <c r="M196" s="15">
        <v>43.1</v>
      </c>
      <c r="N196" s="9">
        <f t="shared" si="15"/>
        <v>0.63934426229508201</v>
      </c>
      <c r="O196" s="9">
        <f t="shared" si="15"/>
        <v>0.46153846153846156</v>
      </c>
      <c r="P196" s="9" t="s">
        <v>722</v>
      </c>
      <c r="Q196" s="9" t="s">
        <v>966</v>
      </c>
      <c r="R196" s="15">
        <v>31</v>
      </c>
      <c r="S196" s="15">
        <v>11</v>
      </c>
      <c r="T196" s="15">
        <v>116</v>
      </c>
      <c r="U196" s="9">
        <v>2</v>
      </c>
      <c r="V196" s="9" t="s">
        <v>1103</v>
      </c>
    </row>
    <row r="197" spans="1:22" ht="15" customHeight="1" x14ac:dyDescent="0.2">
      <c r="A197" s="9" t="s">
        <v>946</v>
      </c>
      <c r="B197" s="9">
        <v>11</v>
      </c>
      <c r="C197" s="9" t="s">
        <v>246</v>
      </c>
      <c r="D197" s="9" t="s">
        <v>251</v>
      </c>
      <c r="E197" s="9" t="s">
        <v>263</v>
      </c>
      <c r="F197" s="9" t="s">
        <v>720</v>
      </c>
      <c r="G197" s="9" t="s">
        <v>1143</v>
      </c>
      <c r="I197" s="10">
        <v>0.5</v>
      </c>
      <c r="J197" s="15">
        <v>76</v>
      </c>
      <c r="K197" s="15">
        <v>59</v>
      </c>
      <c r="L197" s="15">
        <v>25</v>
      </c>
      <c r="M197" s="15">
        <v>129</v>
      </c>
      <c r="N197" s="9">
        <f t="shared" si="15"/>
        <v>0.77631578947368418</v>
      </c>
      <c r="O197" s="9">
        <f t="shared" si="15"/>
        <v>0.42372881355932202</v>
      </c>
      <c r="P197" s="9" t="s">
        <v>1086</v>
      </c>
      <c r="Q197" s="9" t="s">
        <v>1067</v>
      </c>
      <c r="R197" s="15">
        <v>22</v>
      </c>
      <c r="S197" s="15">
        <v>10</v>
      </c>
      <c r="T197" s="15">
        <v>133</v>
      </c>
      <c r="U197" s="9">
        <v>2</v>
      </c>
      <c r="V197" s="9" t="s">
        <v>1082</v>
      </c>
    </row>
    <row r="198" spans="1:22" ht="15" customHeight="1" x14ac:dyDescent="0.2">
      <c r="A198" s="9" t="s">
        <v>987</v>
      </c>
      <c r="B198" s="9">
        <v>11</v>
      </c>
      <c r="C198" s="9" t="s">
        <v>245</v>
      </c>
      <c r="D198" s="9" t="s">
        <v>251</v>
      </c>
      <c r="E198" s="9" t="s">
        <v>261</v>
      </c>
      <c r="F198" s="9" t="s">
        <v>1061</v>
      </c>
      <c r="H198" s="9" t="s">
        <v>1064</v>
      </c>
      <c r="I198" s="10">
        <v>1</v>
      </c>
      <c r="J198" s="15">
        <v>60</v>
      </c>
      <c r="K198" s="15">
        <v>41</v>
      </c>
      <c r="L198" s="15">
        <v>21</v>
      </c>
      <c r="M198" s="15">
        <v>59.8</v>
      </c>
    </row>
    <row r="199" spans="1:22" ht="15" customHeight="1" x14ac:dyDescent="0.2">
      <c r="A199" s="9" t="s">
        <v>712</v>
      </c>
      <c r="B199" s="9">
        <v>11</v>
      </c>
      <c r="C199" s="9" t="s">
        <v>245</v>
      </c>
      <c r="D199" s="9" t="s">
        <v>251</v>
      </c>
      <c r="E199" s="9" t="s">
        <v>260</v>
      </c>
      <c r="F199" s="9" t="s">
        <v>1061</v>
      </c>
      <c r="H199" s="9" t="s">
        <v>1064</v>
      </c>
      <c r="I199" s="10">
        <v>0.6</v>
      </c>
      <c r="J199" s="15">
        <v>64</v>
      </c>
      <c r="K199" s="15">
        <v>53</v>
      </c>
      <c r="L199" s="15">
        <v>41</v>
      </c>
      <c r="M199" s="15">
        <v>166.9</v>
      </c>
    </row>
    <row r="200" spans="1:22" ht="15" customHeight="1" x14ac:dyDescent="0.2">
      <c r="A200" s="9" t="s">
        <v>988</v>
      </c>
      <c r="B200" s="9">
        <v>11</v>
      </c>
      <c r="C200" s="9" t="s">
        <v>246</v>
      </c>
      <c r="D200" s="9" t="s">
        <v>253</v>
      </c>
      <c r="E200" s="9" t="s">
        <v>261</v>
      </c>
      <c r="F200" s="9" t="s">
        <v>720</v>
      </c>
      <c r="G200" s="9" t="s">
        <v>1144</v>
      </c>
      <c r="I200" s="10">
        <v>0.95</v>
      </c>
      <c r="J200" s="15">
        <v>81.23</v>
      </c>
      <c r="K200" s="15">
        <v>51</v>
      </c>
      <c r="L200" s="15">
        <v>31.9</v>
      </c>
      <c r="M200" s="15">
        <v>155.1</v>
      </c>
      <c r="N200" s="9">
        <f>K200/J200</f>
        <v>0.6278468546103656</v>
      </c>
      <c r="O200" s="9">
        <f>L200/K200</f>
        <v>0.62549019607843137</v>
      </c>
      <c r="P200" s="9" t="s">
        <v>1081</v>
      </c>
      <c r="Q200" s="9" t="s">
        <v>1087</v>
      </c>
      <c r="U200" s="9">
        <v>1</v>
      </c>
      <c r="V200" s="9" t="s">
        <v>721</v>
      </c>
    </row>
    <row r="201" spans="1:22" ht="15" customHeight="1" x14ac:dyDescent="0.2">
      <c r="A201" s="9" t="s">
        <v>989</v>
      </c>
      <c r="B201" s="9">
        <v>11</v>
      </c>
      <c r="C201" s="9" t="s">
        <v>245</v>
      </c>
      <c r="D201" s="9" t="s">
        <v>251</v>
      </c>
      <c r="E201" s="9" t="s">
        <v>261</v>
      </c>
      <c r="F201" s="9" t="s">
        <v>720</v>
      </c>
      <c r="G201" s="9" t="s">
        <v>1144</v>
      </c>
      <c r="I201" s="10">
        <v>0.5</v>
      </c>
      <c r="J201" s="15">
        <v>84</v>
      </c>
      <c r="K201" s="15">
        <v>39</v>
      </c>
      <c r="L201" s="15">
        <v>26</v>
      </c>
      <c r="M201" s="15">
        <v>91.8</v>
      </c>
      <c r="N201" s="9">
        <f>K201/J201</f>
        <v>0.4642857142857143</v>
      </c>
      <c r="O201" s="9">
        <f>L201/K201</f>
        <v>0.66666666666666663</v>
      </c>
      <c r="P201" s="9" t="s">
        <v>722</v>
      </c>
      <c r="Q201" s="9" t="s">
        <v>723</v>
      </c>
      <c r="U201" s="9">
        <v>2</v>
      </c>
      <c r="V201" s="9" t="s">
        <v>1070</v>
      </c>
    </row>
    <row r="202" spans="1:22" ht="15" customHeight="1" x14ac:dyDescent="0.2">
      <c r="A202" s="9" t="s">
        <v>1000</v>
      </c>
      <c r="B202" s="9">
        <v>11</v>
      </c>
      <c r="C202" s="9" t="s">
        <v>246</v>
      </c>
      <c r="D202" s="9" t="s">
        <v>257</v>
      </c>
      <c r="E202" s="9" t="s">
        <v>262</v>
      </c>
      <c r="F202" s="9" t="s">
        <v>1061</v>
      </c>
      <c r="H202" s="9" t="s">
        <v>1064</v>
      </c>
      <c r="I202" s="10">
        <v>0.9</v>
      </c>
      <c r="J202" s="15">
        <v>80</v>
      </c>
      <c r="K202" s="15">
        <v>73</v>
      </c>
      <c r="L202" s="15">
        <v>25</v>
      </c>
      <c r="M202" s="15">
        <v>157.1</v>
      </c>
    </row>
    <row r="203" spans="1:22" ht="15" customHeight="1" x14ac:dyDescent="0.2">
      <c r="A203" s="9" t="s">
        <v>1034</v>
      </c>
      <c r="B203" s="9">
        <v>11</v>
      </c>
      <c r="C203" s="9" t="s">
        <v>246</v>
      </c>
      <c r="D203" s="9" t="s">
        <v>251</v>
      </c>
      <c r="E203" s="9" t="s">
        <v>262</v>
      </c>
      <c r="F203" s="9" t="s">
        <v>1061</v>
      </c>
      <c r="H203" s="9" t="s">
        <v>1062</v>
      </c>
      <c r="I203" s="10">
        <v>1</v>
      </c>
      <c r="J203" s="15">
        <v>80</v>
      </c>
      <c r="K203" s="15">
        <v>55</v>
      </c>
      <c r="L203" s="15">
        <v>36</v>
      </c>
      <c r="M203" s="15">
        <v>197.1</v>
      </c>
    </row>
    <row r="204" spans="1:22" ht="15" customHeight="1" x14ac:dyDescent="0.2">
      <c r="A204" s="9" t="s">
        <v>1035</v>
      </c>
      <c r="B204" s="9">
        <v>11</v>
      </c>
      <c r="C204" s="9" t="s">
        <v>246</v>
      </c>
      <c r="D204" s="9" t="s">
        <v>251</v>
      </c>
      <c r="E204" s="9" t="s">
        <v>260</v>
      </c>
      <c r="F204" s="9" t="s">
        <v>1061</v>
      </c>
      <c r="H204" s="9" t="s">
        <v>1063</v>
      </c>
      <c r="I204" s="10">
        <v>0.6</v>
      </c>
      <c r="J204" s="15">
        <v>34</v>
      </c>
      <c r="K204" s="15">
        <v>22</v>
      </c>
      <c r="L204" s="15">
        <v>14</v>
      </c>
      <c r="M204" s="15">
        <v>9.8000000000000007</v>
      </c>
    </row>
    <row r="205" spans="1:22" ht="15" customHeight="1" x14ac:dyDescent="0.2">
      <c r="A205" s="9" t="s">
        <v>1036</v>
      </c>
      <c r="B205" s="9">
        <v>11</v>
      </c>
      <c r="C205" s="9" t="s">
        <v>246</v>
      </c>
      <c r="D205" s="9" t="s">
        <v>255</v>
      </c>
      <c r="E205" s="9" t="s">
        <v>262</v>
      </c>
      <c r="F205" s="9" t="s">
        <v>1061</v>
      </c>
      <c r="H205" s="9" t="s">
        <v>1063</v>
      </c>
      <c r="I205" s="10">
        <v>0.6</v>
      </c>
      <c r="J205" s="15">
        <v>78</v>
      </c>
      <c r="K205" s="15">
        <v>55</v>
      </c>
      <c r="L205" s="15">
        <v>33</v>
      </c>
      <c r="M205" s="15">
        <v>165.1</v>
      </c>
    </row>
    <row r="206" spans="1:22" ht="15" customHeight="1" x14ac:dyDescent="0.2">
      <c r="A206" s="9" t="s">
        <v>138</v>
      </c>
      <c r="B206" s="9">
        <v>11</v>
      </c>
      <c r="C206" s="9" t="s">
        <v>246</v>
      </c>
      <c r="D206" s="9" t="s">
        <v>251</v>
      </c>
      <c r="E206" s="9" t="s">
        <v>261</v>
      </c>
      <c r="F206" s="9" t="s">
        <v>720</v>
      </c>
      <c r="G206" s="9" t="s">
        <v>1076</v>
      </c>
      <c r="I206" s="10">
        <v>0.35</v>
      </c>
      <c r="J206" s="11">
        <v>63</v>
      </c>
      <c r="K206" s="11">
        <v>38</v>
      </c>
      <c r="L206" s="11">
        <v>32</v>
      </c>
      <c r="M206" s="11">
        <v>77.8</v>
      </c>
      <c r="N206" s="9">
        <f t="shared" ref="N206:O211" si="16">K206/J206</f>
        <v>0.60317460317460314</v>
      </c>
      <c r="O206" s="9">
        <f t="shared" si="16"/>
        <v>0.84210526315789469</v>
      </c>
      <c r="P206" s="9" t="s">
        <v>1077</v>
      </c>
      <c r="Q206" s="9" t="s">
        <v>966</v>
      </c>
      <c r="R206" s="15">
        <v>21.73</v>
      </c>
      <c r="S206" s="15">
        <v>12.41</v>
      </c>
      <c r="T206" s="15">
        <v>116</v>
      </c>
      <c r="U206" s="9">
        <v>2</v>
      </c>
      <c r="V206" s="9" t="s">
        <v>1070</v>
      </c>
    </row>
    <row r="207" spans="1:22" ht="15" customHeight="1" x14ac:dyDescent="0.2">
      <c r="A207" s="9" t="s">
        <v>912</v>
      </c>
      <c r="B207" s="9">
        <v>12</v>
      </c>
      <c r="C207" s="9" t="s">
        <v>247</v>
      </c>
      <c r="D207" s="9" t="s">
        <v>251</v>
      </c>
      <c r="E207" s="9" t="s">
        <v>262</v>
      </c>
      <c r="F207" s="9" t="s">
        <v>720</v>
      </c>
      <c r="G207" s="9" t="s">
        <v>1071</v>
      </c>
      <c r="I207" s="10">
        <v>0.95</v>
      </c>
      <c r="J207" s="15">
        <v>67</v>
      </c>
      <c r="K207" s="15">
        <v>58</v>
      </c>
      <c r="L207" s="15">
        <v>27</v>
      </c>
      <c r="M207" s="15">
        <v>119.5</v>
      </c>
      <c r="N207" s="9">
        <f t="shared" si="16"/>
        <v>0.86567164179104472</v>
      </c>
      <c r="O207" s="9">
        <f t="shared" si="16"/>
        <v>0.46551724137931033</v>
      </c>
      <c r="P207" s="9" t="s">
        <v>1084</v>
      </c>
      <c r="Q207" s="9" t="s">
        <v>966</v>
      </c>
      <c r="R207" s="15">
        <v>35</v>
      </c>
      <c r="S207" s="15">
        <v>10</v>
      </c>
      <c r="T207" s="15">
        <v>115</v>
      </c>
      <c r="U207" s="9">
        <v>1</v>
      </c>
      <c r="V207" s="9" t="s">
        <v>1100</v>
      </c>
    </row>
    <row r="208" spans="1:22" ht="15" customHeight="1" x14ac:dyDescent="0.2">
      <c r="A208" s="9" t="s">
        <v>913</v>
      </c>
      <c r="B208" s="9">
        <v>12</v>
      </c>
      <c r="C208" s="9" t="s">
        <v>247</v>
      </c>
      <c r="D208" s="9" t="s">
        <v>251</v>
      </c>
      <c r="E208" s="9" t="s">
        <v>260</v>
      </c>
      <c r="F208" s="9" t="s">
        <v>720</v>
      </c>
      <c r="G208" s="9" t="s">
        <v>1076</v>
      </c>
      <c r="I208" s="10">
        <v>0.2</v>
      </c>
      <c r="J208" s="15">
        <v>47</v>
      </c>
      <c r="K208" s="15">
        <v>38</v>
      </c>
      <c r="L208" s="15">
        <v>11</v>
      </c>
      <c r="M208" s="15">
        <v>20.5</v>
      </c>
      <c r="N208" s="9">
        <f t="shared" si="16"/>
        <v>0.80851063829787229</v>
      </c>
      <c r="O208" s="9">
        <f t="shared" si="16"/>
        <v>0.28947368421052633</v>
      </c>
      <c r="P208" s="9" t="s">
        <v>1084</v>
      </c>
      <c r="Q208" s="9" t="s">
        <v>1067</v>
      </c>
      <c r="R208" s="15">
        <v>4</v>
      </c>
      <c r="S208" s="15">
        <v>2</v>
      </c>
      <c r="T208" s="15">
        <v>107</v>
      </c>
      <c r="U208" s="9">
        <v>3</v>
      </c>
      <c r="V208" s="9" t="s">
        <v>1074</v>
      </c>
    </row>
    <row r="209" spans="1:22" ht="15" customHeight="1" x14ac:dyDescent="0.2">
      <c r="A209" s="9" t="s">
        <v>914</v>
      </c>
      <c r="B209" s="9">
        <v>12</v>
      </c>
      <c r="C209" s="9" t="s">
        <v>693</v>
      </c>
      <c r="D209" s="9" t="s">
        <v>257</v>
      </c>
      <c r="E209" s="9" t="s">
        <v>261</v>
      </c>
      <c r="F209" s="9" t="s">
        <v>720</v>
      </c>
      <c r="G209" s="9" t="s">
        <v>1071</v>
      </c>
      <c r="I209" s="10">
        <v>0.95</v>
      </c>
      <c r="J209" s="15">
        <v>73</v>
      </c>
      <c r="K209" s="15">
        <v>60</v>
      </c>
      <c r="L209" s="15">
        <v>40</v>
      </c>
      <c r="M209" s="15">
        <v>258.7</v>
      </c>
      <c r="N209" s="9">
        <f t="shared" si="16"/>
        <v>0.82191780821917804</v>
      </c>
      <c r="O209" s="9">
        <f t="shared" si="16"/>
        <v>0.66666666666666663</v>
      </c>
      <c r="P209" s="9" t="s">
        <v>722</v>
      </c>
      <c r="Q209" s="9" t="s">
        <v>966</v>
      </c>
      <c r="R209" s="15">
        <v>56</v>
      </c>
      <c r="S209" s="15">
        <v>35</v>
      </c>
      <c r="T209" s="15">
        <v>100</v>
      </c>
      <c r="U209" s="9">
        <v>0</v>
      </c>
      <c r="V209" s="9" t="s">
        <v>721</v>
      </c>
    </row>
    <row r="210" spans="1:22" ht="15" customHeight="1" x14ac:dyDescent="0.2">
      <c r="A210" s="9" t="s">
        <v>915</v>
      </c>
      <c r="B210" s="9">
        <v>12</v>
      </c>
      <c r="C210" s="9" t="s">
        <v>693</v>
      </c>
      <c r="D210" s="9" t="s">
        <v>251</v>
      </c>
      <c r="E210" s="9" t="s">
        <v>261</v>
      </c>
      <c r="F210" s="9" t="s">
        <v>720</v>
      </c>
      <c r="G210" s="9" t="s">
        <v>1142</v>
      </c>
      <c r="I210" s="10">
        <v>0.2</v>
      </c>
      <c r="J210" s="15">
        <v>42</v>
      </c>
      <c r="K210" s="15">
        <v>31</v>
      </c>
      <c r="L210" s="15">
        <v>18</v>
      </c>
      <c r="M210" s="15">
        <v>19.8</v>
      </c>
      <c r="N210" s="9">
        <f t="shared" si="16"/>
        <v>0.73809523809523814</v>
      </c>
      <c r="O210" s="9">
        <f t="shared" si="16"/>
        <v>0.58064516129032262</v>
      </c>
      <c r="P210" s="9" t="s">
        <v>1081</v>
      </c>
      <c r="Q210" s="9" t="s">
        <v>966</v>
      </c>
      <c r="R210" s="15">
        <v>15</v>
      </c>
      <c r="S210" s="15">
        <v>15</v>
      </c>
      <c r="T210" s="15">
        <v>83</v>
      </c>
      <c r="U210" s="9">
        <v>3</v>
      </c>
      <c r="V210" s="9" t="s">
        <v>1070</v>
      </c>
    </row>
    <row r="211" spans="1:22" ht="15" customHeight="1" x14ac:dyDescent="0.2">
      <c r="A211" s="9" t="s">
        <v>947</v>
      </c>
      <c r="B211" s="9">
        <v>12</v>
      </c>
      <c r="C211" s="9" t="s">
        <v>247</v>
      </c>
      <c r="D211" s="9" t="s">
        <v>258</v>
      </c>
      <c r="E211" s="9" t="s">
        <v>261</v>
      </c>
      <c r="F211" s="9" t="s">
        <v>720</v>
      </c>
      <c r="G211" s="9" t="s">
        <v>1071</v>
      </c>
      <c r="I211" s="10">
        <v>0.9</v>
      </c>
      <c r="J211" s="15">
        <v>56</v>
      </c>
      <c r="K211" s="15">
        <v>54</v>
      </c>
      <c r="L211" s="15">
        <v>23</v>
      </c>
      <c r="M211" s="15">
        <v>82.7</v>
      </c>
      <c r="N211" s="9">
        <f t="shared" si="16"/>
        <v>0.9642857142857143</v>
      </c>
      <c r="O211" s="9">
        <f t="shared" si="16"/>
        <v>0.42592592592592593</v>
      </c>
      <c r="P211" s="9" t="s">
        <v>1077</v>
      </c>
      <c r="Q211" s="9" t="s">
        <v>1067</v>
      </c>
      <c r="R211" s="15">
        <v>33</v>
      </c>
      <c r="S211" s="15">
        <v>9</v>
      </c>
      <c r="T211" s="15">
        <v>100</v>
      </c>
      <c r="U211" s="9">
        <v>0</v>
      </c>
      <c r="V211" s="9" t="s">
        <v>721</v>
      </c>
    </row>
    <row r="212" spans="1:22" ht="15" customHeight="1" x14ac:dyDescent="0.2">
      <c r="A212" s="9" t="s">
        <v>1037</v>
      </c>
      <c r="B212" s="9">
        <v>12</v>
      </c>
      <c r="C212" s="9" t="s">
        <v>247</v>
      </c>
      <c r="D212" s="9" t="s">
        <v>251</v>
      </c>
      <c r="E212" s="9" t="s">
        <v>261</v>
      </c>
      <c r="F212" s="9" t="s">
        <v>1061</v>
      </c>
      <c r="H212" s="9" t="s">
        <v>1065</v>
      </c>
      <c r="I212" s="10">
        <v>0</v>
      </c>
      <c r="J212" s="15">
        <v>29</v>
      </c>
      <c r="K212" s="15">
        <v>41</v>
      </c>
      <c r="L212" s="15">
        <v>18</v>
      </c>
      <c r="M212" s="15">
        <v>27.9</v>
      </c>
    </row>
    <row r="213" spans="1:22" ht="15" customHeight="1" x14ac:dyDescent="0.2">
      <c r="A213" s="9" t="s">
        <v>1038</v>
      </c>
      <c r="B213" s="9">
        <v>12</v>
      </c>
      <c r="C213" s="9" t="s">
        <v>247</v>
      </c>
      <c r="D213" s="9" t="s">
        <v>255</v>
      </c>
      <c r="E213" s="9" t="s">
        <v>708</v>
      </c>
      <c r="F213" s="9" t="s">
        <v>1061</v>
      </c>
      <c r="H213" s="9" t="s">
        <v>1062</v>
      </c>
      <c r="I213" s="10">
        <v>0.9</v>
      </c>
      <c r="J213" s="15">
        <v>63</v>
      </c>
      <c r="K213" s="15">
        <v>32</v>
      </c>
      <c r="L213" s="15">
        <v>21</v>
      </c>
      <c r="M213" s="15">
        <v>60</v>
      </c>
    </row>
    <row r="214" spans="1:22" ht="15" customHeight="1" x14ac:dyDescent="0.2">
      <c r="A214" s="9" t="s">
        <v>1040</v>
      </c>
      <c r="B214" s="9">
        <v>12</v>
      </c>
      <c r="C214" s="9" t="s">
        <v>247</v>
      </c>
      <c r="D214" s="9" t="s">
        <v>251</v>
      </c>
      <c r="E214" s="9" t="s">
        <v>263</v>
      </c>
      <c r="F214" s="9" t="s">
        <v>1061</v>
      </c>
      <c r="H214" s="9" t="s">
        <v>1065</v>
      </c>
      <c r="I214" s="10">
        <v>0.6</v>
      </c>
      <c r="J214" s="15">
        <v>38</v>
      </c>
      <c r="K214" s="15">
        <v>49</v>
      </c>
      <c r="L214" s="15">
        <v>22</v>
      </c>
      <c r="M214" s="15">
        <v>53.6</v>
      </c>
    </row>
    <row r="215" spans="1:22" ht="15" customHeight="1" x14ac:dyDescent="0.2">
      <c r="A215" s="9" t="s">
        <v>1041</v>
      </c>
      <c r="B215" s="9">
        <v>12</v>
      </c>
      <c r="C215" s="9" t="s">
        <v>247</v>
      </c>
      <c r="D215" s="9" t="s">
        <v>258</v>
      </c>
      <c r="E215" s="9" t="s">
        <v>261</v>
      </c>
      <c r="F215" s="9" t="s">
        <v>1061</v>
      </c>
      <c r="H215" s="9" t="s">
        <v>1065</v>
      </c>
      <c r="I215" s="10">
        <v>0</v>
      </c>
      <c r="J215" s="15">
        <v>42</v>
      </c>
      <c r="K215" s="15">
        <v>60</v>
      </c>
      <c r="L215" s="15">
        <v>24</v>
      </c>
      <c r="M215" s="15">
        <v>59.1</v>
      </c>
    </row>
    <row r="216" spans="1:22" ht="15" customHeight="1" x14ac:dyDescent="0.2">
      <c r="A216" s="9" t="s">
        <v>1042</v>
      </c>
      <c r="B216" s="9">
        <v>12</v>
      </c>
      <c r="C216" s="9" t="s">
        <v>247</v>
      </c>
      <c r="D216" s="9" t="s">
        <v>255</v>
      </c>
      <c r="E216" s="9" t="s">
        <v>261</v>
      </c>
      <c r="F216" s="9" t="s">
        <v>1061</v>
      </c>
      <c r="H216" s="9" t="s">
        <v>1065</v>
      </c>
      <c r="I216" s="10">
        <v>0.9</v>
      </c>
      <c r="J216" s="15">
        <v>41</v>
      </c>
      <c r="K216" s="15">
        <v>51</v>
      </c>
      <c r="L216" s="15">
        <v>15</v>
      </c>
      <c r="M216" s="15">
        <v>50</v>
      </c>
    </row>
    <row r="217" spans="1:22" ht="15" customHeight="1" x14ac:dyDescent="0.2">
      <c r="A217" s="9" t="s">
        <v>1043</v>
      </c>
      <c r="B217" s="9">
        <v>12</v>
      </c>
      <c r="C217" s="9" t="s">
        <v>693</v>
      </c>
      <c r="D217" s="9" t="s">
        <v>253</v>
      </c>
      <c r="E217" s="9" t="s">
        <v>260</v>
      </c>
      <c r="F217" s="9" t="s">
        <v>1061</v>
      </c>
      <c r="H217" s="9" t="s">
        <v>1065</v>
      </c>
      <c r="I217" s="10">
        <v>0.9</v>
      </c>
      <c r="J217" s="15">
        <v>48</v>
      </c>
      <c r="K217" s="15">
        <v>39</v>
      </c>
      <c r="L217" s="15">
        <v>20</v>
      </c>
      <c r="M217" s="15">
        <v>48</v>
      </c>
    </row>
    <row r="218" spans="1:22" ht="15" customHeight="1" x14ac:dyDescent="0.2">
      <c r="A218" s="9" t="s">
        <v>1044</v>
      </c>
      <c r="B218" s="9">
        <v>12</v>
      </c>
      <c r="C218" s="9" t="s">
        <v>693</v>
      </c>
      <c r="D218" s="9" t="s">
        <v>251</v>
      </c>
      <c r="E218" s="9" t="s">
        <v>262</v>
      </c>
      <c r="F218" s="9" t="s">
        <v>1061</v>
      </c>
      <c r="H218" s="9" t="s">
        <v>1064</v>
      </c>
      <c r="I218" s="10">
        <v>0.4</v>
      </c>
      <c r="J218" s="15">
        <v>73</v>
      </c>
      <c r="K218" s="15">
        <v>63</v>
      </c>
      <c r="L218" s="15">
        <v>24</v>
      </c>
      <c r="M218" s="15">
        <v>134.5</v>
      </c>
    </row>
    <row r="219" spans="1:22" ht="15" customHeight="1" x14ac:dyDescent="0.2">
      <c r="A219" s="9" t="s">
        <v>1045</v>
      </c>
      <c r="B219" s="9">
        <v>12</v>
      </c>
      <c r="C219" s="9" t="s">
        <v>248</v>
      </c>
      <c r="D219" s="9" t="s">
        <v>1096</v>
      </c>
      <c r="E219" s="9" t="s">
        <v>261</v>
      </c>
      <c r="F219" s="9" t="s">
        <v>1061</v>
      </c>
      <c r="H219" s="9" t="s">
        <v>1065</v>
      </c>
      <c r="I219" s="10">
        <v>1</v>
      </c>
      <c r="J219" s="15">
        <v>49</v>
      </c>
      <c r="K219" s="15">
        <v>38</v>
      </c>
      <c r="L219" s="15">
        <v>18</v>
      </c>
      <c r="M219" s="15">
        <v>42.1</v>
      </c>
    </row>
    <row r="220" spans="1:22" ht="15" customHeight="1" x14ac:dyDescent="0.2">
      <c r="A220" s="9" t="s">
        <v>1046</v>
      </c>
      <c r="B220" s="9">
        <v>12</v>
      </c>
      <c r="C220" s="9" t="s">
        <v>693</v>
      </c>
      <c r="D220" s="9" t="s">
        <v>257</v>
      </c>
      <c r="E220" s="9" t="s">
        <v>262</v>
      </c>
      <c r="F220" s="9" t="s">
        <v>1061</v>
      </c>
      <c r="H220" s="9" t="s">
        <v>1064</v>
      </c>
      <c r="I220" s="10">
        <v>0.9</v>
      </c>
      <c r="J220" s="15">
        <v>41</v>
      </c>
      <c r="K220" s="15">
        <v>38</v>
      </c>
      <c r="L220" s="15">
        <v>14</v>
      </c>
      <c r="M220" s="15">
        <v>22</v>
      </c>
    </row>
    <row r="221" spans="1:22" ht="15" customHeight="1" x14ac:dyDescent="0.2">
      <c r="A221" s="9" t="s">
        <v>1053</v>
      </c>
      <c r="B221" s="9">
        <v>12</v>
      </c>
      <c r="C221" s="9" t="s">
        <v>693</v>
      </c>
      <c r="D221" s="9" t="s">
        <v>251</v>
      </c>
      <c r="E221" s="9" t="s">
        <v>262</v>
      </c>
      <c r="F221" s="9" t="s">
        <v>1061</v>
      </c>
      <c r="H221" s="9" t="s">
        <v>1062</v>
      </c>
      <c r="I221" s="10">
        <v>0</v>
      </c>
      <c r="J221" s="15">
        <v>55</v>
      </c>
      <c r="K221" s="15">
        <v>52</v>
      </c>
      <c r="L221" s="15">
        <v>18</v>
      </c>
      <c r="M221" s="15">
        <v>54.8</v>
      </c>
    </row>
    <row r="222" spans="1:22" ht="15" customHeight="1" x14ac:dyDescent="0.2">
      <c r="A222" s="9" t="s">
        <v>1054</v>
      </c>
      <c r="B222" s="9">
        <v>12</v>
      </c>
      <c r="C222" s="9" t="s">
        <v>693</v>
      </c>
      <c r="D222" s="9" t="s">
        <v>251</v>
      </c>
      <c r="E222" s="9" t="s">
        <v>261</v>
      </c>
      <c r="F222" s="9" t="s">
        <v>1061</v>
      </c>
      <c r="H222" s="9" t="s">
        <v>1062</v>
      </c>
      <c r="I222" s="10">
        <v>0.6</v>
      </c>
      <c r="J222" s="15">
        <v>68</v>
      </c>
      <c r="K222" s="15">
        <v>36</v>
      </c>
      <c r="L222" s="15">
        <v>28</v>
      </c>
      <c r="M222" s="15">
        <v>55.3</v>
      </c>
    </row>
  </sheetData>
  <autoFilter ref="A1:W222" xr:uid="{B7202780-FCB2-4C1B-B389-893E4C83A9CD}"/>
  <phoneticPr fontId="2" type="noConversion"/>
  <conditionalFormatting sqref="N1:N1048576">
    <cfRule type="cellIs" dxfId="3" priority="1" operator="greaterThan">
      <formula>1</formula>
    </cfRule>
  </conditionalFormatting>
  <dataValidations count="1">
    <dataValidation allowBlank="1" showInputMessage="1" sqref="E1:XFD1" xr:uid="{955F2285-DEE7-48FD-9532-FFACD51DFC12}"/>
  </dataValidations>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5606B-9C5B-477B-A194-DADB60DE41F1}">
  <dimension ref="A1:AR35"/>
  <sheetViews>
    <sheetView zoomScaleNormal="100" workbookViewId="0">
      <selection activeCell="D30" sqref="D30"/>
    </sheetView>
  </sheetViews>
  <sheetFormatPr defaultColWidth="8.625" defaultRowHeight="15" customHeight="1" x14ac:dyDescent="0.2"/>
  <cols>
    <col min="1" max="1" width="19.875" style="9" customWidth="1"/>
    <col min="2" max="2" width="6.25" style="9" customWidth="1"/>
    <col min="3" max="3" width="7.125" style="9" customWidth="1"/>
    <col min="4" max="4" width="12.875" style="9" customWidth="1"/>
    <col min="5" max="5" width="14.75" style="9" customWidth="1"/>
    <col min="6" max="6" width="8" style="9" customWidth="1"/>
    <col min="7" max="7" width="12.875" style="9" customWidth="1"/>
    <col min="8" max="8" width="9.375" style="9" customWidth="1"/>
    <col min="9" max="9" width="8.625" style="10"/>
    <col min="10" max="13" width="8.625" style="15"/>
    <col min="14" max="14" width="18.125" style="9" customWidth="1"/>
    <col min="15" max="15" width="17.75" style="9" customWidth="1"/>
    <col min="16" max="16" width="13.125" style="11" customWidth="1"/>
    <col min="17" max="17" width="14.375" style="9" customWidth="1"/>
    <col min="18" max="18" width="9.25" style="9" customWidth="1"/>
    <col min="19" max="24" width="6" style="9" customWidth="1"/>
    <col min="25" max="25" width="9" style="9" customWidth="1"/>
    <col min="26" max="27" width="9.375" style="9" customWidth="1"/>
    <col min="28" max="28" width="18.125" style="9" customWidth="1"/>
    <col min="29" max="29" width="17.75" style="9" customWidth="1"/>
    <col min="30" max="30" width="13.125" style="11" customWidth="1"/>
    <col min="31" max="31" width="14.375" style="9" customWidth="1"/>
    <col min="32" max="32" width="9.25" style="9" customWidth="1"/>
    <col min="33" max="38" width="6" style="9" customWidth="1"/>
    <col min="39" max="39" width="9" style="9" customWidth="1"/>
    <col min="40" max="42" width="9.375" style="9" customWidth="1"/>
    <col min="43" max="43" width="10.75" style="9" customWidth="1"/>
    <col min="44" max="44" width="14.875" style="9" customWidth="1"/>
    <col min="45" max="16384" width="8.625" style="9"/>
  </cols>
  <sheetData>
    <row r="1" spans="1:44" s="13" customFormat="1" ht="20.100000000000001" customHeight="1" x14ac:dyDescent="0.2">
      <c r="A1" s="1" t="s">
        <v>0</v>
      </c>
      <c r="B1" s="2" t="s">
        <v>1</v>
      </c>
      <c r="C1" s="2" t="s">
        <v>2</v>
      </c>
      <c r="D1" s="2" t="s">
        <v>3</v>
      </c>
      <c r="E1" s="2" t="s">
        <v>6</v>
      </c>
      <c r="F1" s="2" t="s">
        <v>7</v>
      </c>
      <c r="G1" s="2" t="s">
        <v>1119</v>
      </c>
      <c r="H1" s="2" t="s">
        <v>775</v>
      </c>
      <c r="I1" s="2" t="s">
        <v>8</v>
      </c>
      <c r="J1" s="14" t="s">
        <v>9</v>
      </c>
      <c r="K1" s="14" t="s">
        <v>10</v>
      </c>
      <c r="L1" s="14" t="s">
        <v>11</v>
      </c>
      <c r="M1" s="14" t="s">
        <v>12</v>
      </c>
      <c r="N1" s="16" t="s">
        <v>778</v>
      </c>
      <c r="O1" s="16" t="s">
        <v>779</v>
      </c>
      <c r="P1" s="18" t="s">
        <v>776</v>
      </c>
      <c r="Q1" s="16" t="s">
        <v>777</v>
      </c>
      <c r="R1" s="16" t="s">
        <v>35</v>
      </c>
      <c r="S1" s="16" t="s">
        <v>780</v>
      </c>
      <c r="T1" s="16" t="s">
        <v>783</v>
      </c>
      <c r="U1" s="16" t="s">
        <v>781</v>
      </c>
      <c r="V1" s="16" t="s">
        <v>784</v>
      </c>
      <c r="W1" s="16" t="s">
        <v>782</v>
      </c>
      <c r="X1" s="16" t="s">
        <v>785</v>
      </c>
      <c r="Y1" s="16" t="s">
        <v>786</v>
      </c>
      <c r="Z1" s="16" t="s">
        <v>787</v>
      </c>
      <c r="AA1" s="16" t="s">
        <v>788</v>
      </c>
      <c r="AB1" s="17" t="s">
        <v>789</v>
      </c>
      <c r="AC1" s="17" t="s">
        <v>790</v>
      </c>
      <c r="AD1" s="19" t="s">
        <v>1115</v>
      </c>
      <c r="AE1" s="17" t="s">
        <v>791</v>
      </c>
      <c r="AF1" s="17" t="s">
        <v>792</v>
      </c>
      <c r="AG1" s="17" t="s">
        <v>793</v>
      </c>
      <c r="AH1" s="17" t="s">
        <v>796</v>
      </c>
      <c r="AI1" s="17" t="s">
        <v>794</v>
      </c>
      <c r="AJ1" s="17" t="s">
        <v>797</v>
      </c>
      <c r="AK1" s="17" t="s">
        <v>795</v>
      </c>
      <c r="AL1" s="17" t="s">
        <v>798</v>
      </c>
      <c r="AM1" s="17" t="s">
        <v>799</v>
      </c>
      <c r="AN1" s="17" t="s">
        <v>800</v>
      </c>
      <c r="AO1" s="17" t="s">
        <v>801</v>
      </c>
      <c r="AP1" s="17" t="s">
        <v>1145</v>
      </c>
      <c r="AQ1" s="2" t="s">
        <v>1112</v>
      </c>
      <c r="AR1" s="2" t="s">
        <v>1116</v>
      </c>
    </row>
    <row r="2" spans="1:44" ht="15" customHeight="1" x14ac:dyDescent="0.2">
      <c r="A2" s="9" t="s">
        <v>803</v>
      </c>
      <c r="B2" s="9">
        <v>3</v>
      </c>
      <c r="C2" s="9" t="s">
        <v>236</v>
      </c>
      <c r="D2" s="9" t="s">
        <v>251</v>
      </c>
      <c r="E2" s="9" t="s">
        <v>260</v>
      </c>
      <c r="F2" s="9" t="s">
        <v>841</v>
      </c>
      <c r="G2" s="9" t="s">
        <v>834</v>
      </c>
      <c r="H2" s="9" t="s">
        <v>1110</v>
      </c>
      <c r="I2" s="10">
        <v>0.3</v>
      </c>
      <c r="J2" s="15">
        <v>77</v>
      </c>
      <c r="K2" s="15">
        <v>43</v>
      </c>
      <c r="L2" s="15">
        <v>16</v>
      </c>
      <c r="M2" s="15">
        <v>51.1</v>
      </c>
      <c r="N2" s="9" t="s">
        <v>1104</v>
      </c>
      <c r="O2" s="9" t="s">
        <v>1107</v>
      </c>
      <c r="P2" s="11">
        <v>48</v>
      </c>
      <c r="Q2" s="9">
        <v>1</v>
      </c>
      <c r="R2" s="9">
        <v>5</v>
      </c>
      <c r="S2" s="9">
        <v>2.91</v>
      </c>
      <c r="T2" s="9">
        <v>13.37</v>
      </c>
      <c r="U2" s="9">
        <v>2.7</v>
      </c>
      <c r="V2" s="9">
        <v>14.49</v>
      </c>
      <c r="W2" s="9">
        <v>4.3099999999999996</v>
      </c>
      <c r="X2" s="9">
        <v>14.2</v>
      </c>
      <c r="Y2" s="9">
        <f t="shared" ref="Y2:Y13" si="0">S2/T2</f>
        <v>0.21765145848915485</v>
      </c>
      <c r="Z2" s="9">
        <f t="shared" ref="Z2:Z13" si="1">U2/V2</f>
        <v>0.18633540372670809</v>
      </c>
      <c r="AA2" s="9">
        <f t="shared" ref="AA2:AA13" si="2">W2/X2</f>
        <v>0.30352112676056336</v>
      </c>
      <c r="AB2" s="9" t="s">
        <v>1104</v>
      </c>
      <c r="AC2" s="9" t="s">
        <v>1108</v>
      </c>
      <c r="AD2" s="11">
        <v>75</v>
      </c>
      <c r="AE2" s="9">
        <v>1</v>
      </c>
      <c r="AF2" s="9">
        <v>13</v>
      </c>
      <c r="AG2" s="9">
        <v>2.2999999999999998</v>
      </c>
      <c r="AH2" s="9">
        <v>12.27</v>
      </c>
      <c r="AI2" s="9">
        <v>2.4900000000000002</v>
      </c>
      <c r="AJ2" s="9">
        <v>12.8</v>
      </c>
      <c r="AK2" s="9">
        <v>2.54</v>
      </c>
      <c r="AL2" s="9">
        <v>12.11</v>
      </c>
      <c r="AM2" s="9">
        <f>AG2/AH2</f>
        <v>0.18744906275468623</v>
      </c>
      <c r="AN2" s="9">
        <f>AI2/AJ2</f>
        <v>0.19453125000000002</v>
      </c>
      <c r="AO2" s="9">
        <f>AK2/AL2</f>
        <v>0.20974401321222133</v>
      </c>
      <c r="AP2" s="9">
        <f t="shared" ref="AP2:AP13" si="3">AVERAGE(AE2,Q2)</f>
        <v>1</v>
      </c>
      <c r="AQ2" s="9">
        <f t="shared" ref="AQ2:AQ13" si="4">AVERAGE(AA2,AO2)</f>
        <v>0.25663256998639233</v>
      </c>
      <c r="AR2" s="11">
        <f t="shared" ref="AR2:AR13" si="5">AVERAGE(AD2,P2)</f>
        <v>61.5</v>
      </c>
    </row>
    <row r="3" spans="1:44" ht="15" customHeight="1" x14ac:dyDescent="0.2">
      <c r="A3" s="9" t="s">
        <v>804</v>
      </c>
      <c r="B3" s="9">
        <v>3</v>
      </c>
      <c r="C3" s="9" t="s">
        <v>236</v>
      </c>
      <c r="D3" s="9" t="s">
        <v>257</v>
      </c>
      <c r="E3" s="9" t="s">
        <v>708</v>
      </c>
      <c r="F3" s="9" t="s">
        <v>841</v>
      </c>
      <c r="G3" s="9" t="s">
        <v>833</v>
      </c>
      <c r="H3" s="9" t="s">
        <v>1110</v>
      </c>
      <c r="I3" s="10">
        <v>0.15</v>
      </c>
      <c r="J3" s="15">
        <v>43</v>
      </c>
      <c r="K3" s="15">
        <v>33</v>
      </c>
      <c r="L3" s="15">
        <v>18</v>
      </c>
      <c r="M3" s="15">
        <v>16.100000000000001</v>
      </c>
      <c r="N3" s="9" t="s">
        <v>1104</v>
      </c>
      <c r="O3" s="9" t="s">
        <v>1107</v>
      </c>
      <c r="P3" s="11">
        <v>65</v>
      </c>
      <c r="Q3" s="9">
        <v>3</v>
      </c>
      <c r="R3" s="9">
        <v>4</v>
      </c>
      <c r="S3" s="9">
        <v>6.5</v>
      </c>
      <c r="T3" s="9">
        <v>6.76</v>
      </c>
      <c r="U3" s="9">
        <v>16.46</v>
      </c>
      <c r="V3" s="9">
        <v>16.670000000000002</v>
      </c>
      <c r="W3" s="9">
        <v>10.42</v>
      </c>
      <c r="X3" s="9">
        <v>15.89</v>
      </c>
      <c r="Y3" s="9">
        <f t="shared" si="0"/>
        <v>0.96153846153846156</v>
      </c>
      <c r="Z3" s="9">
        <f t="shared" si="1"/>
        <v>0.98740251949610069</v>
      </c>
      <c r="AA3" s="9">
        <f t="shared" si="2"/>
        <v>0.65575833857772181</v>
      </c>
      <c r="AP3" s="9">
        <f t="shared" si="3"/>
        <v>3</v>
      </c>
      <c r="AQ3" s="9">
        <f t="shared" si="4"/>
        <v>0.65575833857772181</v>
      </c>
      <c r="AR3" s="11">
        <f t="shared" si="5"/>
        <v>65</v>
      </c>
    </row>
    <row r="4" spans="1:44" ht="15" customHeight="1" x14ac:dyDescent="0.2">
      <c r="A4" s="9" t="s">
        <v>806</v>
      </c>
      <c r="B4" s="9">
        <v>3</v>
      </c>
      <c r="C4" s="9" t="s">
        <v>236</v>
      </c>
      <c r="D4" s="9" t="s">
        <v>257</v>
      </c>
      <c r="E4" s="9" t="s">
        <v>261</v>
      </c>
      <c r="F4" s="9" t="s">
        <v>841</v>
      </c>
      <c r="G4" s="9" t="s">
        <v>833</v>
      </c>
      <c r="H4" s="9" t="s">
        <v>1110</v>
      </c>
      <c r="I4" s="10">
        <v>0.5</v>
      </c>
      <c r="J4" s="15">
        <v>41</v>
      </c>
      <c r="K4" s="15">
        <v>56</v>
      </c>
      <c r="L4" s="15">
        <v>18</v>
      </c>
      <c r="M4" s="15">
        <v>40</v>
      </c>
      <c r="N4" s="9" t="s">
        <v>1105</v>
      </c>
      <c r="O4" s="9" t="s">
        <v>1109</v>
      </c>
      <c r="P4" s="11">
        <v>60</v>
      </c>
      <c r="Q4" s="9">
        <v>2</v>
      </c>
      <c r="R4" s="9">
        <v>4</v>
      </c>
      <c r="S4" s="9">
        <v>8</v>
      </c>
      <c r="T4" s="9">
        <v>12.94</v>
      </c>
      <c r="U4" s="9">
        <v>10.26</v>
      </c>
      <c r="V4" s="9">
        <v>18.22</v>
      </c>
      <c r="W4" s="9">
        <v>4.76</v>
      </c>
      <c r="X4" s="9">
        <v>18.350000000000001</v>
      </c>
      <c r="Y4" s="9">
        <f t="shared" si="0"/>
        <v>0.61823802163833075</v>
      </c>
      <c r="Z4" s="9">
        <f t="shared" si="1"/>
        <v>0.56311745334796925</v>
      </c>
      <c r="AA4" s="9">
        <f t="shared" si="2"/>
        <v>0.25940054495912801</v>
      </c>
      <c r="AP4" s="9">
        <f t="shared" si="3"/>
        <v>2</v>
      </c>
      <c r="AQ4" s="9">
        <f t="shared" si="4"/>
        <v>0.25940054495912801</v>
      </c>
      <c r="AR4" s="11">
        <f t="shared" si="5"/>
        <v>60</v>
      </c>
    </row>
    <row r="5" spans="1:44" ht="15" customHeight="1" x14ac:dyDescent="0.2">
      <c r="A5" s="9" t="s">
        <v>811</v>
      </c>
      <c r="B5" s="9">
        <v>3</v>
      </c>
      <c r="C5" s="9" t="s">
        <v>236</v>
      </c>
      <c r="D5" s="9" t="s">
        <v>253</v>
      </c>
      <c r="E5" s="9" t="s">
        <v>261</v>
      </c>
      <c r="F5" s="9" t="s">
        <v>841</v>
      </c>
      <c r="G5" s="9" t="s">
        <v>834</v>
      </c>
      <c r="H5" s="9" t="s">
        <v>1110</v>
      </c>
      <c r="I5" s="10">
        <v>0.35</v>
      </c>
      <c r="J5" s="15">
        <v>55</v>
      </c>
      <c r="K5" s="15">
        <v>42</v>
      </c>
      <c r="L5" s="15">
        <v>20</v>
      </c>
      <c r="M5" s="15">
        <v>35</v>
      </c>
      <c r="N5" s="9" t="s">
        <v>1104</v>
      </c>
      <c r="O5" s="9" t="s">
        <v>1109</v>
      </c>
      <c r="P5" s="11">
        <v>55</v>
      </c>
      <c r="Q5" s="9">
        <v>1</v>
      </c>
      <c r="R5" s="9">
        <v>5</v>
      </c>
      <c r="S5" s="9">
        <v>3.7</v>
      </c>
      <c r="T5" s="9">
        <v>14.62</v>
      </c>
      <c r="U5" s="9">
        <v>2.81</v>
      </c>
      <c r="V5" s="9">
        <v>17.23</v>
      </c>
      <c r="W5" s="9">
        <v>3.31</v>
      </c>
      <c r="X5" s="9">
        <v>16.82</v>
      </c>
      <c r="Y5" s="9">
        <f t="shared" si="0"/>
        <v>0.25307797537619703</v>
      </c>
      <c r="Z5" s="9">
        <f t="shared" si="1"/>
        <v>0.16308763784097505</v>
      </c>
      <c r="AA5" s="9">
        <f t="shared" si="2"/>
        <v>0.1967895362663496</v>
      </c>
      <c r="AP5" s="9">
        <f t="shared" si="3"/>
        <v>1</v>
      </c>
      <c r="AQ5" s="9">
        <f t="shared" si="4"/>
        <v>0.1967895362663496</v>
      </c>
      <c r="AR5" s="11">
        <f t="shared" si="5"/>
        <v>55</v>
      </c>
    </row>
    <row r="6" spans="1:44" ht="15" customHeight="1" x14ac:dyDescent="0.2">
      <c r="A6" s="9" t="s">
        <v>814</v>
      </c>
      <c r="B6" s="9">
        <v>3</v>
      </c>
      <c r="C6" s="9" t="s">
        <v>236</v>
      </c>
      <c r="D6" s="9" t="s">
        <v>257</v>
      </c>
      <c r="E6" s="9" t="s">
        <v>262</v>
      </c>
      <c r="F6" s="9" t="s">
        <v>841</v>
      </c>
      <c r="G6" s="9" t="s">
        <v>832</v>
      </c>
      <c r="H6" s="9" t="s">
        <v>1110</v>
      </c>
      <c r="I6" s="10">
        <v>0.45</v>
      </c>
      <c r="J6" s="15">
        <v>66</v>
      </c>
      <c r="K6" s="15">
        <v>63</v>
      </c>
      <c r="L6" s="15">
        <v>25</v>
      </c>
      <c r="M6" s="15">
        <v>128</v>
      </c>
      <c r="N6" s="9" t="s">
        <v>1104</v>
      </c>
      <c r="O6" s="9" t="s">
        <v>1108</v>
      </c>
      <c r="P6" s="11">
        <v>78</v>
      </c>
      <c r="Q6" s="9">
        <v>2</v>
      </c>
      <c r="R6" s="9">
        <v>7</v>
      </c>
      <c r="S6" s="9">
        <v>20.23</v>
      </c>
      <c r="T6" s="9">
        <v>22.37</v>
      </c>
      <c r="U6" s="9">
        <v>21.76</v>
      </c>
      <c r="V6" s="9">
        <v>23.94</v>
      </c>
      <c r="W6" s="9">
        <v>18.57</v>
      </c>
      <c r="X6" s="9">
        <v>24.15</v>
      </c>
      <c r="Y6" s="9">
        <f t="shared" si="0"/>
        <v>0.90433616450603482</v>
      </c>
      <c r="Z6" s="9">
        <f t="shared" si="1"/>
        <v>0.90893901420217216</v>
      </c>
      <c r="AA6" s="9">
        <f t="shared" si="2"/>
        <v>0.76894409937888208</v>
      </c>
      <c r="AP6" s="9">
        <f t="shared" si="3"/>
        <v>2</v>
      </c>
      <c r="AQ6" s="9">
        <f t="shared" si="4"/>
        <v>0.76894409937888208</v>
      </c>
      <c r="AR6" s="11">
        <f t="shared" si="5"/>
        <v>78</v>
      </c>
    </row>
    <row r="7" spans="1:44" ht="15" customHeight="1" x14ac:dyDescent="0.2">
      <c r="A7" s="9" t="s">
        <v>816</v>
      </c>
      <c r="B7" s="9">
        <v>3</v>
      </c>
      <c r="C7" s="9" t="s">
        <v>236</v>
      </c>
      <c r="D7" s="9" t="s">
        <v>251</v>
      </c>
      <c r="E7" s="9" t="s">
        <v>261</v>
      </c>
      <c r="F7" s="9" t="s">
        <v>841</v>
      </c>
      <c r="G7" s="9" t="s">
        <v>832</v>
      </c>
      <c r="H7" s="9" t="s">
        <v>1110</v>
      </c>
      <c r="I7" s="10">
        <v>0.3</v>
      </c>
      <c r="J7" s="15">
        <v>59</v>
      </c>
      <c r="K7" s="15">
        <v>63</v>
      </c>
      <c r="L7" s="15">
        <v>21</v>
      </c>
      <c r="M7" s="15">
        <v>91.9</v>
      </c>
      <c r="N7" s="9" t="s">
        <v>1105</v>
      </c>
      <c r="O7" s="9" t="s">
        <v>1107</v>
      </c>
      <c r="P7" s="11">
        <v>67</v>
      </c>
      <c r="Q7" s="9">
        <v>2</v>
      </c>
      <c r="R7" s="9">
        <v>9</v>
      </c>
      <c r="S7" s="9">
        <v>14.44</v>
      </c>
      <c r="T7" s="9">
        <v>20.98</v>
      </c>
      <c r="U7" s="9">
        <v>15.53</v>
      </c>
      <c r="V7" s="9">
        <v>18.52</v>
      </c>
      <c r="W7" s="9">
        <v>12</v>
      </c>
      <c r="X7" s="9">
        <v>18.79</v>
      </c>
      <c r="Y7" s="9">
        <f t="shared" si="0"/>
        <v>0.6882745471877979</v>
      </c>
      <c r="Z7" s="9">
        <f t="shared" si="1"/>
        <v>0.83855291576673863</v>
      </c>
      <c r="AA7" s="9">
        <f t="shared" si="2"/>
        <v>0.63863757317722192</v>
      </c>
      <c r="AP7" s="9">
        <f t="shared" si="3"/>
        <v>2</v>
      </c>
      <c r="AQ7" s="9">
        <f t="shared" si="4"/>
        <v>0.63863757317722192</v>
      </c>
      <c r="AR7" s="11">
        <f t="shared" si="5"/>
        <v>67</v>
      </c>
    </row>
    <row r="8" spans="1:44" ht="15" customHeight="1" x14ac:dyDescent="0.2">
      <c r="A8" s="9" t="s">
        <v>820</v>
      </c>
      <c r="B8" s="9">
        <v>3</v>
      </c>
      <c r="C8" s="9" t="s">
        <v>236</v>
      </c>
      <c r="D8" s="9" t="s">
        <v>251</v>
      </c>
      <c r="E8" s="9" t="s">
        <v>261</v>
      </c>
      <c r="F8" s="9" t="s">
        <v>841</v>
      </c>
      <c r="G8" s="9" t="s">
        <v>832</v>
      </c>
      <c r="H8" s="9" t="s">
        <v>1110</v>
      </c>
      <c r="I8" s="10">
        <v>0.35</v>
      </c>
      <c r="J8" s="15">
        <v>48</v>
      </c>
      <c r="K8" s="15">
        <v>56</v>
      </c>
      <c r="L8" s="15">
        <v>22</v>
      </c>
      <c r="M8" s="15">
        <v>64.599999999999994</v>
      </c>
      <c r="N8" s="9" t="s">
        <v>1105</v>
      </c>
      <c r="O8" s="9" t="s">
        <v>1108</v>
      </c>
      <c r="P8" s="11">
        <v>79</v>
      </c>
      <c r="Q8" s="9">
        <v>1</v>
      </c>
      <c r="R8" s="9">
        <v>4</v>
      </c>
      <c r="S8" s="9">
        <v>6.83</v>
      </c>
      <c r="T8" s="9">
        <v>18.579999999999998</v>
      </c>
      <c r="U8" s="9">
        <v>8.5399999999999991</v>
      </c>
      <c r="V8" s="9">
        <v>22.41</v>
      </c>
      <c r="W8" s="9">
        <v>5.45</v>
      </c>
      <c r="X8" s="9">
        <v>22.22</v>
      </c>
      <c r="Y8" s="9">
        <f t="shared" si="0"/>
        <v>0.36759956942949412</v>
      </c>
      <c r="Z8" s="9">
        <f t="shared" si="1"/>
        <v>0.38107987505577862</v>
      </c>
      <c r="AA8" s="9">
        <f t="shared" si="2"/>
        <v>0.24527452745274531</v>
      </c>
      <c r="AP8" s="9">
        <f t="shared" si="3"/>
        <v>1</v>
      </c>
      <c r="AQ8" s="9">
        <f t="shared" si="4"/>
        <v>0.24527452745274531</v>
      </c>
      <c r="AR8" s="11">
        <f t="shared" si="5"/>
        <v>79</v>
      </c>
    </row>
    <row r="9" spans="1:44" ht="15" customHeight="1" x14ac:dyDescent="0.2">
      <c r="A9" s="9" t="s">
        <v>825</v>
      </c>
      <c r="B9" s="9">
        <v>3</v>
      </c>
      <c r="C9" s="9" t="s">
        <v>236</v>
      </c>
      <c r="D9" s="9" t="s">
        <v>253</v>
      </c>
      <c r="E9" s="9" t="s">
        <v>262</v>
      </c>
      <c r="F9" s="9" t="s">
        <v>841</v>
      </c>
      <c r="G9" s="9" t="s">
        <v>839</v>
      </c>
      <c r="H9" s="9" t="s">
        <v>837</v>
      </c>
      <c r="I9" s="10">
        <v>0.5</v>
      </c>
      <c r="J9" s="15">
        <v>103</v>
      </c>
      <c r="K9" s="15">
        <v>75</v>
      </c>
      <c r="L9" s="15">
        <v>23</v>
      </c>
      <c r="M9" s="15">
        <v>184.3</v>
      </c>
      <c r="N9" s="9" t="s">
        <v>1105</v>
      </c>
      <c r="O9" s="9" t="s">
        <v>1108</v>
      </c>
      <c r="P9" s="11">
        <v>67</v>
      </c>
      <c r="Q9" s="9">
        <v>1</v>
      </c>
      <c r="R9" s="9">
        <v>4</v>
      </c>
      <c r="S9" s="9">
        <v>5.4</v>
      </c>
      <c r="T9" s="9">
        <v>22.26</v>
      </c>
      <c r="U9" s="9">
        <v>6.2</v>
      </c>
      <c r="V9" s="9">
        <v>23.5</v>
      </c>
      <c r="W9" s="9">
        <v>6.3</v>
      </c>
      <c r="X9" s="9">
        <v>23.6</v>
      </c>
      <c r="Y9" s="9">
        <f t="shared" si="0"/>
        <v>0.24258760107816713</v>
      </c>
      <c r="Z9" s="9">
        <f t="shared" si="1"/>
        <v>0.26382978723404255</v>
      </c>
      <c r="AA9" s="9">
        <f t="shared" si="2"/>
        <v>0.26694915254237284</v>
      </c>
      <c r="AP9" s="9">
        <f t="shared" si="3"/>
        <v>1</v>
      </c>
      <c r="AQ9" s="9">
        <f t="shared" si="4"/>
        <v>0.26694915254237284</v>
      </c>
      <c r="AR9" s="11">
        <f t="shared" si="5"/>
        <v>67</v>
      </c>
    </row>
    <row r="10" spans="1:44" ht="15" customHeight="1" x14ac:dyDescent="0.2">
      <c r="A10" s="9" t="s">
        <v>1117</v>
      </c>
      <c r="B10" s="9">
        <v>3</v>
      </c>
      <c r="C10" s="9" t="s">
        <v>236</v>
      </c>
      <c r="D10" s="9" t="s">
        <v>251</v>
      </c>
      <c r="E10" s="9" t="s">
        <v>261</v>
      </c>
      <c r="F10" s="9" t="s">
        <v>841</v>
      </c>
      <c r="G10" s="9" t="s">
        <v>832</v>
      </c>
      <c r="H10" s="9" t="s">
        <v>1110</v>
      </c>
      <c r="I10" s="10">
        <v>0.6</v>
      </c>
      <c r="J10" s="15">
        <v>51</v>
      </c>
      <c r="K10" s="15">
        <v>35</v>
      </c>
      <c r="L10" s="15">
        <v>15</v>
      </c>
      <c r="M10" s="15">
        <v>28</v>
      </c>
      <c r="N10" s="9" t="s">
        <v>1105</v>
      </c>
      <c r="O10" s="9" t="s">
        <v>1107</v>
      </c>
      <c r="P10" s="11">
        <v>74</v>
      </c>
      <c r="Q10" s="9">
        <v>1</v>
      </c>
      <c r="R10" s="9">
        <v>5</v>
      </c>
      <c r="S10" s="9">
        <v>2.4900000000000002</v>
      </c>
      <c r="T10" s="9">
        <v>14.27</v>
      </c>
      <c r="U10" s="9">
        <v>2.23</v>
      </c>
      <c r="V10" s="9">
        <v>15.58</v>
      </c>
      <c r="W10" s="9">
        <v>3</v>
      </c>
      <c r="X10" s="9">
        <v>13.62</v>
      </c>
      <c r="Y10" s="9">
        <f t="shared" si="0"/>
        <v>0.1744919411352488</v>
      </c>
      <c r="Z10" s="9">
        <f t="shared" si="1"/>
        <v>0.14313222079589216</v>
      </c>
      <c r="AA10" s="9">
        <f t="shared" si="2"/>
        <v>0.22026431718061676</v>
      </c>
      <c r="AP10" s="9">
        <f t="shared" si="3"/>
        <v>1</v>
      </c>
      <c r="AQ10" s="9">
        <f t="shared" si="4"/>
        <v>0.22026431718061676</v>
      </c>
      <c r="AR10" s="11">
        <f t="shared" si="5"/>
        <v>74</v>
      </c>
    </row>
    <row r="11" spans="1:44" ht="15" customHeight="1" x14ac:dyDescent="0.2">
      <c r="A11" s="9" t="s">
        <v>826</v>
      </c>
      <c r="B11" s="9">
        <v>3</v>
      </c>
      <c r="C11" s="9" t="s">
        <v>236</v>
      </c>
      <c r="D11" s="9" t="s">
        <v>251</v>
      </c>
      <c r="E11" s="9" t="s">
        <v>708</v>
      </c>
      <c r="F11" s="9" t="s">
        <v>841</v>
      </c>
      <c r="G11" s="9" t="s">
        <v>840</v>
      </c>
      <c r="H11" s="9" t="s">
        <v>1110</v>
      </c>
      <c r="I11" s="10">
        <v>0</v>
      </c>
      <c r="J11" s="15">
        <v>71</v>
      </c>
      <c r="K11" s="15">
        <v>43</v>
      </c>
      <c r="L11" s="15">
        <v>16</v>
      </c>
      <c r="M11" s="15">
        <v>50.5</v>
      </c>
      <c r="N11" s="9" t="s">
        <v>1105</v>
      </c>
      <c r="O11" s="9" t="s">
        <v>1109</v>
      </c>
      <c r="P11" s="11">
        <v>48</v>
      </c>
      <c r="Q11" s="9">
        <v>1</v>
      </c>
      <c r="R11" s="9">
        <v>3</v>
      </c>
      <c r="S11" s="9">
        <v>5.21</v>
      </c>
      <c r="T11" s="9">
        <v>12.2</v>
      </c>
      <c r="U11" s="9">
        <v>4.5</v>
      </c>
      <c r="V11" s="9">
        <v>13.6</v>
      </c>
      <c r="W11" s="9">
        <v>4.97</v>
      </c>
      <c r="X11" s="9">
        <v>16</v>
      </c>
      <c r="Y11" s="9">
        <f t="shared" si="0"/>
        <v>0.42704918032786887</v>
      </c>
      <c r="Z11" s="9">
        <f t="shared" si="1"/>
        <v>0.33088235294117646</v>
      </c>
      <c r="AA11" s="9">
        <f t="shared" si="2"/>
        <v>0.31062499999999998</v>
      </c>
      <c r="AP11" s="9">
        <f t="shared" si="3"/>
        <v>1</v>
      </c>
      <c r="AQ11" s="9">
        <f t="shared" si="4"/>
        <v>0.31062499999999998</v>
      </c>
      <c r="AR11" s="11">
        <f t="shared" si="5"/>
        <v>48</v>
      </c>
    </row>
    <row r="12" spans="1:44" ht="15" customHeight="1" x14ac:dyDescent="0.2">
      <c r="A12" s="9" t="s">
        <v>827</v>
      </c>
      <c r="B12" s="9">
        <v>3</v>
      </c>
      <c r="C12" s="9" t="s">
        <v>236</v>
      </c>
      <c r="D12" s="9" t="s">
        <v>251</v>
      </c>
      <c r="E12" s="9" t="s">
        <v>260</v>
      </c>
      <c r="F12" s="9" t="s">
        <v>841</v>
      </c>
      <c r="G12" s="9" t="s">
        <v>832</v>
      </c>
      <c r="H12" s="9" t="s">
        <v>1110</v>
      </c>
      <c r="I12" s="10">
        <v>0.15</v>
      </c>
      <c r="J12" s="15">
        <v>68</v>
      </c>
      <c r="K12" s="15">
        <v>43</v>
      </c>
      <c r="L12" s="15">
        <v>10</v>
      </c>
      <c r="M12" s="15">
        <v>25.9</v>
      </c>
      <c r="N12" s="9" t="s">
        <v>1105</v>
      </c>
      <c r="O12" s="9" t="s">
        <v>1106</v>
      </c>
      <c r="P12" s="11">
        <v>64</v>
      </c>
      <c r="Q12" s="9">
        <v>2</v>
      </c>
      <c r="R12" s="9">
        <v>19</v>
      </c>
      <c r="S12" s="9">
        <v>3.78</v>
      </c>
      <c r="T12" s="9">
        <v>9.8000000000000007</v>
      </c>
      <c r="U12" s="9">
        <v>4</v>
      </c>
      <c r="V12" s="9">
        <v>11.1</v>
      </c>
      <c r="W12" s="9">
        <v>4</v>
      </c>
      <c r="X12" s="9">
        <v>8.6999999999999993</v>
      </c>
      <c r="Y12" s="9">
        <f t="shared" si="0"/>
        <v>0.38571428571428568</v>
      </c>
      <c r="Z12" s="9">
        <f t="shared" si="1"/>
        <v>0.3603603603603604</v>
      </c>
      <c r="AA12" s="9">
        <f t="shared" si="2"/>
        <v>0.45977011494252878</v>
      </c>
      <c r="AP12" s="9">
        <f t="shared" si="3"/>
        <v>2</v>
      </c>
      <c r="AQ12" s="9">
        <f t="shared" si="4"/>
        <v>0.45977011494252878</v>
      </c>
      <c r="AR12" s="11">
        <f t="shared" si="5"/>
        <v>64</v>
      </c>
    </row>
    <row r="13" spans="1:44" ht="15" customHeight="1" x14ac:dyDescent="0.2">
      <c r="A13" s="9" t="s">
        <v>1039</v>
      </c>
      <c r="B13" s="9">
        <v>3</v>
      </c>
      <c r="C13" s="9" t="s">
        <v>236</v>
      </c>
      <c r="D13" s="9" t="s">
        <v>251</v>
      </c>
      <c r="E13" s="9" t="s">
        <v>260</v>
      </c>
      <c r="F13" s="9" t="s">
        <v>841</v>
      </c>
      <c r="G13" s="9" t="s">
        <v>839</v>
      </c>
      <c r="H13" s="9" t="s">
        <v>1110</v>
      </c>
      <c r="I13" s="10">
        <v>0.5</v>
      </c>
      <c r="J13" s="15">
        <v>76</v>
      </c>
      <c r="K13" s="15">
        <v>39</v>
      </c>
      <c r="L13" s="15">
        <v>26</v>
      </c>
      <c r="M13" s="15">
        <v>51.3</v>
      </c>
      <c r="N13" s="9" t="s">
        <v>1104</v>
      </c>
      <c r="O13" s="9" t="s">
        <v>1108</v>
      </c>
      <c r="P13" s="11">
        <v>55</v>
      </c>
      <c r="Q13" s="9">
        <v>1</v>
      </c>
      <c r="R13" s="9">
        <v>5</v>
      </c>
      <c r="S13" s="9">
        <v>5.12</v>
      </c>
      <c r="T13" s="9">
        <v>24.5</v>
      </c>
      <c r="U13" s="9">
        <v>4.29</v>
      </c>
      <c r="V13" s="9">
        <v>24.73</v>
      </c>
      <c r="W13" s="9">
        <v>2.91</v>
      </c>
      <c r="X13" s="9">
        <v>15.29</v>
      </c>
      <c r="Y13" s="9">
        <f t="shared" si="0"/>
        <v>0.2089795918367347</v>
      </c>
      <c r="Z13" s="9">
        <f t="shared" si="1"/>
        <v>0.17347351395066721</v>
      </c>
      <c r="AA13" s="9">
        <f t="shared" si="2"/>
        <v>0.19032047089601048</v>
      </c>
      <c r="AP13" s="9">
        <f t="shared" si="3"/>
        <v>1</v>
      </c>
      <c r="AQ13" s="9">
        <f t="shared" si="4"/>
        <v>0.19032047089601048</v>
      </c>
      <c r="AR13" s="11">
        <f t="shared" si="5"/>
        <v>55</v>
      </c>
    </row>
    <row r="14" spans="1:44" ht="15" customHeight="1" x14ac:dyDescent="0.2">
      <c r="A14" s="9" t="s">
        <v>830</v>
      </c>
      <c r="B14" s="9">
        <v>3</v>
      </c>
      <c r="C14" s="9" t="s">
        <v>236</v>
      </c>
      <c r="D14" s="9" t="s">
        <v>251</v>
      </c>
      <c r="E14" s="9" t="s">
        <v>260</v>
      </c>
      <c r="F14" s="9" t="s">
        <v>841</v>
      </c>
      <c r="G14" s="9" t="s">
        <v>836</v>
      </c>
      <c r="H14" s="9" t="s">
        <v>1111</v>
      </c>
      <c r="I14" s="10">
        <v>0.95</v>
      </c>
      <c r="J14" s="15">
        <v>83</v>
      </c>
      <c r="K14" s="15">
        <v>58</v>
      </c>
      <c r="L14" s="15">
        <v>34</v>
      </c>
      <c r="M14" s="15">
        <v>177.2</v>
      </c>
    </row>
    <row r="15" spans="1:44" ht="15" customHeight="1" x14ac:dyDescent="0.2">
      <c r="A15" s="9" t="s">
        <v>807</v>
      </c>
      <c r="B15" s="9">
        <v>4</v>
      </c>
      <c r="C15" s="9" t="s">
        <v>237</v>
      </c>
      <c r="D15" s="9" t="s">
        <v>257</v>
      </c>
      <c r="E15" s="9" t="s">
        <v>262</v>
      </c>
      <c r="F15" s="9" t="s">
        <v>841</v>
      </c>
      <c r="G15" s="9" t="s">
        <v>832</v>
      </c>
      <c r="H15" s="9" t="s">
        <v>1110</v>
      </c>
      <c r="I15" s="10">
        <v>0.35</v>
      </c>
      <c r="J15" s="15">
        <v>64</v>
      </c>
      <c r="K15" s="15">
        <v>55</v>
      </c>
      <c r="L15" s="15">
        <v>32</v>
      </c>
      <c r="M15" s="15">
        <v>91.7</v>
      </c>
      <c r="N15" s="9" t="s">
        <v>1105</v>
      </c>
      <c r="O15" s="9" t="s">
        <v>1108</v>
      </c>
      <c r="P15" s="11">
        <v>68</v>
      </c>
      <c r="Q15" s="9">
        <v>2</v>
      </c>
      <c r="R15" s="9">
        <v>6</v>
      </c>
      <c r="S15" s="9">
        <v>16.2</v>
      </c>
      <c r="T15" s="9">
        <v>29.07</v>
      </c>
      <c r="U15" s="9">
        <v>12.66</v>
      </c>
      <c r="V15" s="9">
        <v>32.25</v>
      </c>
      <c r="W15" s="9">
        <v>13.3</v>
      </c>
      <c r="X15" s="9">
        <v>28.39</v>
      </c>
      <c r="Y15" s="9">
        <f>S15/T15</f>
        <v>0.55727554179566563</v>
      </c>
      <c r="Z15" s="9">
        <f>U15/V15</f>
        <v>0.39255813953488372</v>
      </c>
      <c r="AA15" s="9">
        <f>W15/X15</f>
        <v>0.46847481507573091</v>
      </c>
      <c r="AP15" s="9">
        <f t="shared" ref="AP15:AP27" si="6">AVERAGE(AE15,Q15)</f>
        <v>2</v>
      </c>
      <c r="AQ15" s="9">
        <f>AVERAGE(AA15,AO15)</f>
        <v>0.46847481507573091</v>
      </c>
      <c r="AR15" s="11">
        <f t="shared" ref="AR15:AR27" si="7">AVERAGE(AD15,P15)</f>
        <v>68</v>
      </c>
    </row>
    <row r="16" spans="1:44" ht="15" customHeight="1" x14ac:dyDescent="0.2">
      <c r="A16" s="9" t="s">
        <v>802</v>
      </c>
      <c r="B16" s="9">
        <v>7</v>
      </c>
      <c r="C16" s="9" t="s">
        <v>249</v>
      </c>
      <c r="D16" s="9" t="s">
        <v>251</v>
      </c>
      <c r="E16" s="9" t="s">
        <v>260</v>
      </c>
      <c r="F16" s="9" t="s">
        <v>841</v>
      </c>
      <c r="G16" s="9" t="s">
        <v>832</v>
      </c>
      <c r="H16" s="9" t="s">
        <v>287</v>
      </c>
      <c r="I16" s="10">
        <v>0</v>
      </c>
      <c r="J16" s="15">
        <v>102</v>
      </c>
      <c r="K16" s="15">
        <v>65</v>
      </c>
      <c r="L16" s="15">
        <v>38</v>
      </c>
      <c r="M16" s="15">
        <v>236.5</v>
      </c>
      <c r="N16" s="9" t="s">
        <v>1104</v>
      </c>
      <c r="O16" s="9" t="s">
        <v>1106</v>
      </c>
      <c r="P16" s="11">
        <v>69</v>
      </c>
      <c r="Q16" s="9">
        <v>1</v>
      </c>
      <c r="R16" s="9">
        <v>9</v>
      </c>
      <c r="S16" s="9">
        <v>8.36</v>
      </c>
      <c r="T16" s="9">
        <v>19.809999999999999</v>
      </c>
      <c r="U16" s="9">
        <v>14.64</v>
      </c>
      <c r="V16" s="9">
        <v>34.03</v>
      </c>
      <c r="W16" s="9">
        <v>11.53</v>
      </c>
      <c r="X16" s="9">
        <v>30.13</v>
      </c>
      <c r="Y16" s="9">
        <f>S16/T16</f>
        <v>0.42200908632004036</v>
      </c>
      <c r="Z16" s="9">
        <f>U16/V16</f>
        <v>0.43020863943579196</v>
      </c>
      <c r="AA16" s="9">
        <f>W16/X16</f>
        <v>0.38267507467640227</v>
      </c>
      <c r="AP16" s="9">
        <f t="shared" si="6"/>
        <v>1</v>
      </c>
      <c r="AQ16" s="9">
        <f>AVERAGE(AA16,AO16)</f>
        <v>0.38267507467640227</v>
      </c>
      <c r="AR16" s="11">
        <f t="shared" si="7"/>
        <v>69</v>
      </c>
    </row>
    <row r="17" spans="1:44" ht="15" customHeight="1" x14ac:dyDescent="0.2">
      <c r="A17" s="9" t="s">
        <v>809</v>
      </c>
      <c r="B17" s="9">
        <v>7</v>
      </c>
      <c r="C17" s="9" t="s">
        <v>239</v>
      </c>
      <c r="D17" s="9" t="s">
        <v>251</v>
      </c>
      <c r="E17" s="9" t="s">
        <v>260</v>
      </c>
      <c r="F17" s="9" t="s">
        <v>841</v>
      </c>
      <c r="G17" s="9" t="s">
        <v>832</v>
      </c>
      <c r="H17" s="9" t="s">
        <v>1110</v>
      </c>
      <c r="I17" s="10">
        <v>0.05</v>
      </c>
      <c r="J17" s="15">
        <v>74</v>
      </c>
      <c r="K17" s="15">
        <v>49</v>
      </c>
      <c r="L17" s="15">
        <v>24</v>
      </c>
      <c r="M17" s="15">
        <v>96.2</v>
      </c>
      <c r="N17" s="9" t="s">
        <v>274</v>
      </c>
      <c r="O17" s="9" t="s">
        <v>1108</v>
      </c>
      <c r="P17" s="11">
        <v>56</v>
      </c>
      <c r="Q17" s="9">
        <v>2</v>
      </c>
      <c r="R17" s="9">
        <v>11</v>
      </c>
      <c r="AP17" s="9">
        <f t="shared" si="6"/>
        <v>2</v>
      </c>
      <c r="AR17" s="11">
        <f t="shared" si="7"/>
        <v>56</v>
      </c>
    </row>
    <row r="18" spans="1:44" ht="15" customHeight="1" x14ac:dyDescent="0.2">
      <c r="A18" s="9" t="s">
        <v>812</v>
      </c>
      <c r="B18" s="9">
        <v>7</v>
      </c>
      <c r="C18" s="9" t="s">
        <v>240</v>
      </c>
      <c r="D18" s="9" t="s">
        <v>251</v>
      </c>
      <c r="E18" s="9" t="s">
        <v>261</v>
      </c>
      <c r="F18" s="9" t="s">
        <v>841</v>
      </c>
      <c r="G18" s="9" t="s">
        <v>833</v>
      </c>
      <c r="H18" s="9" t="s">
        <v>1110</v>
      </c>
      <c r="I18" s="10">
        <v>0.4</v>
      </c>
      <c r="J18" s="15">
        <v>72</v>
      </c>
      <c r="K18" s="15">
        <v>42</v>
      </c>
      <c r="L18" s="15">
        <v>30</v>
      </c>
      <c r="M18" s="15">
        <v>66.7</v>
      </c>
      <c r="N18" s="9" t="s">
        <v>1105</v>
      </c>
      <c r="O18" s="9" t="s">
        <v>1108</v>
      </c>
      <c r="P18" s="11">
        <v>77</v>
      </c>
      <c r="Q18" s="9">
        <v>1</v>
      </c>
      <c r="R18" s="9">
        <v>3</v>
      </c>
      <c r="S18" s="9">
        <v>13.6</v>
      </c>
      <c r="T18" s="9">
        <v>28.37</v>
      </c>
      <c r="U18" s="9">
        <v>11.69</v>
      </c>
      <c r="V18" s="9">
        <v>22.82</v>
      </c>
      <c r="W18" s="9">
        <v>8.24</v>
      </c>
      <c r="X18" s="9">
        <v>18.12</v>
      </c>
      <c r="Y18" s="9">
        <f t="shared" ref="Y18:Y27" si="8">S18/T18</f>
        <v>0.47937962636587944</v>
      </c>
      <c r="Z18" s="9">
        <f t="shared" ref="Z18:Z27" si="9">U18/V18</f>
        <v>0.51226993865030668</v>
      </c>
      <c r="AA18" s="9">
        <f t="shared" ref="AA18:AA27" si="10">W18/X18</f>
        <v>0.45474613686534215</v>
      </c>
      <c r="AP18" s="9">
        <f t="shared" si="6"/>
        <v>1</v>
      </c>
      <c r="AQ18" s="9">
        <f t="shared" ref="AQ18:AQ27" si="11">AVERAGE(AA18,AO18)</f>
        <v>0.45474613686534215</v>
      </c>
      <c r="AR18" s="11">
        <f t="shared" si="7"/>
        <v>77</v>
      </c>
    </row>
    <row r="19" spans="1:44" ht="15" customHeight="1" x14ac:dyDescent="0.2">
      <c r="A19" s="9" t="s">
        <v>813</v>
      </c>
      <c r="B19" s="9">
        <v>7</v>
      </c>
      <c r="C19" s="9" t="s">
        <v>239</v>
      </c>
      <c r="D19" s="9" t="s">
        <v>251</v>
      </c>
      <c r="E19" s="9" t="s">
        <v>260</v>
      </c>
      <c r="F19" s="9" t="s">
        <v>841</v>
      </c>
      <c r="G19" s="9" t="s">
        <v>839</v>
      </c>
      <c r="H19" s="9" t="s">
        <v>1110</v>
      </c>
      <c r="I19" s="10">
        <v>0.25</v>
      </c>
      <c r="J19" s="15">
        <v>59</v>
      </c>
      <c r="K19" s="15">
        <v>35</v>
      </c>
      <c r="L19" s="15">
        <v>24</v>
      </c>
      <c r="M19" s="15">
        <v>43.5</v>
      </c>
      <c r="N19" s="9" t="s">
        <v>1104</v>
      </c>
      <c r="O19" s="9" t="s">
        <v>1107</v>
      </c>
      <c r="P19" s="11">
        <v>68</v>
      </c>
      <c r="Q19" s="9">
        <v>1</v>
      </c>
      <c r="R19" s="9">
        <v>3</v>
      </c>
      <c r="S19" s="9">
        <v>6.28</v>
      </c>
      <c r="T19" s="9">
        <v>12.23</v>
      </c>
      <c r="U19" s="9">
        <v>6.6</v>
      </c>
      <c r="V19" s="9">
        <v>16.690000000000001</v>
      </c>
      <c r="W19" s="9">
        <v>4.13</v>
      </c>
      <c r="X19" s="9">
        <v>18.600000000000001</v>
      </c>
      <c r="Y19" s="9">
        <f t="shared" si="8"/>
        <v>0.51349141455437453</v>
      </c>
      <c r="Z19" s="9">
        <f t="shared" si="9"/>
        <v>0.39544637507489511</v>
      </c>
      <c r="AA19" s="9">
        <f t="shared" si="10"/>
        <v>0.22204301075268815</v>
      </c>
      <c r="AP19" s="9">
        <f t="shared" si="6"/>
        <v>1</v>
      </c>
      <c r="AQ19" s="9">
        <f t="shared" si="11"/>
        <v>0.22204301075268815</v>
      </c>
      <c r="AR19" s="11">
        <f t="shared" si="7"/>
        <v>68</v>
      </c>
    </row>
    <row r="20" spans="1:44" ht="15" customHeight="1" x14ac:dyDescent="0.2">
      <c r="A20" s="9" t="s">
        <v>818</v>
      </c>
      <c r="B20" s="9">
        <v>7</v>
      </c>
      <c r="C20" s="9" t="s">
        <v>249</v>
      </c>
      <c r="D20" s="9" t="s">
        <v>251</v>
      </c>
      <c r="E20" s="9" t="s">
        <v>260</v>
      </c>
      <c r="F20" s="9" t="s">
        <v>841</v>
      </c>
      <c r="G20" s="9" t="s">
        <v>838</v>
      </c>
      <c r="H20" s="9" t="s">
        <v>1110</v>
      </c>
      <c r="I20" s="10">
        <v>0.7</v>
      </c>
      <c r="J20" s="15">
        <v>70</v>
      </c>
      <c r="K20" s="15">
        <v>62</v>
      </c>
      <c r="L20" s="15">
        <v>35</v>
      </c>
      <c r="M20" s="15">
        <v>129.19999999999999</v>
      </c>
      <c r="N20" s="9" t="s">
        <v>1104</v>
      </c>
      <c r="O20" s="9" t="s">
        <v>1108</v>
      </c>
      <c r="P20" s="11">
        <v>65</v>
      </c>
      <c r="Q20" s="9">
        <v>1</v>
      </c>
      <c r="R20" s="9">
        <v>4</v>
      </c>
      <c r="S20" s="9">
        <v>12.888</v>
      </c>
      <c r="T20" s="9">
        <v>35.729999999999997</v>
      </c>
      <c r="U20" s="9">
        <v>7.17</v>
      </c>
      <c r="V20" s="9">
        <v>29.9</v>
      </c>
      <c r="W20" s="9">
        <v>8</v>
      </c>
      <c r="X20" s="9">
        <v>26.63</v>
      </c>
      <c r="Y20" s="9">
        <f t="shared" si="8"/>
        <v>0.36070528967254412</v>
      </c>
      <c r="Z20" s="9">
        <f t="shared" si="9"/>
        <v>0.23979933110367893</v>
      </c>
      <c r="AA20" s="9">
        <f t="shared" si="10"/>
        <v>0.30041306796845663</v>
      </c>
      <c r="AP20" s="9">
        <f t="shared" si="6"/>
        <v>1</v>
      </c>
      <c r="AQ20" s="9">
        <f t="shared" si="11"/>
        <v>0.30041306796845663</v>
      </c>
      <c r="AR20" s="11">
        <f t="shared" si="7"/>
        <v>65</v>
      </c>
    </row>
    <row r="21" spans="1:44" ht="15" customHeight="1" x14ac:dyDescent="0.2">
      <c r="A21" s="9" t="s">
        <v>819</v>
      </c>
      <c r="B21" s="9">
        <v>7</v>
      </c>
      <c r="C21" s="9" t="s">
        <v>240</v>
      </c>
      <c r="D21" s="9" t="s">
        <v>251</v>
      </c>
      <c r="E21" s="9" t="s">
        <v>260</v>
      </c>
      <c r="F21" s="9" t="s">
        <v>841</v>
      </c>
      <c r="G21" s="9" t="s">
        <v>832</v>
      </c>
      <c r="H21" s="9" t="s">
        <v>1110</v>
      </c>
      <c r="I21" s="10">
        <v>0.4</v>
      </c>
      <c r="J21" s="15">
        <v>68</v>
      </c>
      <c r="K21" s="15">
        <v>60</v>
      </c>
      <c r="L21" s="15">
        <v>25</v>
      </c>
      <c r="M21" s="15">
        <v>97.2</v>
      </c>
      <c r="N21" s="9" t="s">
        <v>1104</v>
      </c>
      <c r="O21" s="9" t="s">
        <v>1108</v>
      </c>
      <c r="P21" s="11">
        <v>65</v>
      </c>
      <c r="Q21" s="9">
        <v>1</v>
      </c>
      <c r="R21" s="9">
        <v>6</v>
      </c>
      <c r="S21" s="9">
        <v>10.67</v>
      </c>
      <c r="T21" s="9">
        <v>25.88</v>
      </c>
      <c r="U21" s="9">
        <v>5.05</v>
      </c>
      <c r="V21" s="9">
        <v>24.02</v>
      </c>
      <c r="W21" s="9">
        <v>5.84</v>
      </c>
      <c r="X21" s="9">
        <v>19.62</v>
      </c>
      <c r="Y21" s="9">
        <f t="shared" si="8"/>
        <v>0.41228748068006182</v>
      </c>
      <c r="Z21" s="9">
        <f t="shared" si="9"/>
        <v>0.2102414654454621</v>
      </c>
      <c r="AA21" s="9">
        <f t="shared" si="10"/>
        <v>0.29765545361875634</v>
      </c>
      <c r="AP21" s="9">
        <f t="shared" si="6"/>
        <v>1</v>
      </c>
      <c r="AQ21" s="9">
        <f t="shared" si="11"/>
        <v>0.29765545361875634</v>
      </c>
      <c r="AR21" s="11">
        <f t="shared" si="7"/>
        <v>65</v>
      </c>
    </row>
    <row r="22" spans="1:44" ht="15" customHeight="1" x14ac:dyDescent="0.2">
      <c r="A22" s="9" t="s">
        <v>822</v>
      </c>
      <c r="B22" s="9">
        <v>7</v>
      </c>
      <c r="C22" s="9" t="s">
        <v>239</v>
      </c>
      <c r="D22" s="9" t="s">
        <v>251</v>
      </c>
      <c r="E22" s="9" t="s">
        <v>260</v>
      </c>
      <c r="F22" s="9" t="s">
        <v>841</v>
      </c>
      <c r="G22" s="9" t="s">
        <v>838</v>
      </c>
      <c r="H22" s="9" t="s">
        <v>1110</v>
      </c>
      <c r="I22" s="10">
        <v>0.4</v>
      </c>
      <c r="J22" s="15">
        <v>86</v>
      </c>
      <c r="K22" s="15">
        <v>50</v>
      </c>
      <c r="L22" s="15">
        <v>23</v>
      </c>
      <c r="M22" s="15">
        <v>98.4</v>
      </c>
      <c r="N22" s="9" t="s">
        <v>1105</v>
      </c>
      <c r="O22" s="9" t="s">
        <v>1108</v>
      </c>
      <c r="P22" s="11">
        <v>70</v>
      </c>
      <c r="Q22" s="9">
        <v>1</v>
      </c>
      <c r="R22" s="9">
        <v>5</v>
      </c>
      <c r="S22" s="9">
        <v>4.28</v>
      </c>
      <c r="T22" s="9">
        <v>24.87</v>
      </c>
      <c r="U22" s="9">
        <v>5.54</v>
      </c>
      <c r="V22" s="9">
        <v>24.64</v>
      </c>
      <c r="W22" s="9">
        <v>5.6</v>
      </c>
      <c r="X22" s="9">
        <v>21.74</v>
      </c>
      <c r="Y22" s="9">
        <f t="shared" si="8"/>
        <v>0.17209489344591877</v>
      </c>
      <c r="Z22" s="9">
        <f t="shared" si="9"/>
        <v>0.22483766233766234</v>
      </c>
      <c r="AA22" s="9">
        <f t="shared" si="10"/>
        <v>0.25758969641214352</v>
      </c>
      <c r="AP22" s="9">
        <f t="shared" si="6"/>
        <v>1</v>
      </c>
      <c r="AQ22" s="9">
        <f t="shared" si="11"/>
        <v>0.25758969641214352</v>
      </c>
      <c r="AR22" s="11">
        <f t="shared" si="7"/>
        <v>70</v>
      </c>
    </row>
    <row r="23" spans="1:44" ht="15" customHeight="1" x14ac:dyDescent="0.2">
      <c r="A23" s="9" t="s">
        <v>810</v>
      </c>
      <c r="B23" s="9">
        <v>8</v>
      </c>
      <c r="C23" s="9" t="s">
        <v>241</v>
      </c>
      <c r="D23" s="9" t="s">
        <v>251</v>
      </c>
      <c r="E23" s="9" t="s">
        <v>261</v>
      </c>
      <c r="F23" s="9" t="s">
        <v>841</v>
      </c>
      <c r="G23" s="9" t="s">
        <v>832</v>
      </c>
      <c r="H23" s="9" t="s">
        <v>1110</v>
      </c>
      <c r="I23" s="10">
        <v>0.25</v>
      </c>
      <c r="J23" s="15">
        <v>110</v>
      </c>
      <c r="K23" s="15">
        <v>105</v>
      </c>
      <c r="L23" s="15">
        <v>48</v>
      </c>
      <c r="M23" s="15">
        <v>626.9</v>
      </c>
      <c r="N23" s="9" t="s">
        <v>1104</v>
      </c>
      <c r="O23" s="9" t="s">
        <v>1108</v>
      </c>
      <c r="P23" s="11">
        <v>62</v>
      </c>
      <c r="Q23" s="9">
        <v>1</v>
      </c>
      <c r="R23" s="9">
        <v>15</v>
      </c>
      <c r="S23" s="9">
        <v>8.9499999999999993</v>
      </c>
      <c r="T23" s="9">
        <v>46.13</v>
      </c>
      <c r="U23" s="9">
        <v>8.18</v>
      </c>
      <c r="V23" s="9">
        <v>42.58</v>
      </c>
      <c r="W23" s="9">
        <v>5.6</v>
      </c>
      <c r="X23" s="9">
        <v>40.96</v>
      </c>
      <c r="Y23" s="9">
        <f t="shared" si="8"/>
        <v>0.19401690873618033</v>
      </c>
      <c r="Z23" s="9">
        <f t="shared" si="9"/>
        <v>0.19210897134805072</v>
      </c>
      <c r="AA23" s="9">
        <f t="shared" si="10"/>
        <v>0.13671875</v>
      </c>
      <c r="AB23" s="9" t="s">
        <v>1104</v>
      </c>
      <c r="AC23" s="9" t="s">
        <v>1107</v>
      </c>
      <c r="AD23" s="11">
        <v>48</v>
      </c>
      <c r="AE23" s="9">
        <v>1</v>
      </c>
      <c r="AF23" s="9">
        <v>2</v>
      </c>
      <c r="AG23" s="9">
        <v>7.82</v>
      </c>
      <c r="AH23" s="9">
        <v>43.6</v>
      </c>
      <c r="AI23" s="9">
        <v>6.7</v>
      </c>
      <c r="AJ23" s="9">
        <v>43.83</v>
      </c>
      <c r="AK23" s="9">
        <v>4.0999999999999996</v>
      </c>
      <c r="AL23" s="9">
        <v>40.49</v>
      </c>
      <c r="AM23" s="9">
        <f>AG23/AH23</f>
        <v>0.17935779816513761</v>
      </c>
      <c r="AN23" s="9">
        <f>AI23/AJ23</f>
        <v>0.15286333561487567</v>
      </c>
      <c r="AO23" s="9">
        <f>AK23/AL23</f>
        <v>0.10125957026426277</v>
      </c>
      <c r="AP23" s="9">
        <f t="shared" si="6"/>
        <v>1</v>
      </c>
      <c r="AQ23" s="9">
        <f t="shared" si="11"/>
        <v>0.11898916013213139</v>
      </c>
      <c r="AR23" s="11">
        <f t="shared" si="7"/>
        <v>55</v>
      </c>
    </row>
    <row r="24" spans="1:44" ht="15" customHeight="1" x14ac:dyDescent="0.2">
      <c r="A24" s="9" t="s">
        <v>815</v>
      </c>
      <c r="B24" s="9">
        <v>9</v>
      </c>
      <c r="C24" s="9" t="s">
        <v>243</v>
      </c>
      <c r="D24" s="9" t="s">
        <v>251</v>
      </c>
      <c r="E24" s="9" t="s">
        <v>260</v>
      </c>
      <c r="F24" s="9" t="s">
        <v>841</v>
      </c>
      <c r="G24" s="9" t="s">
        <v>834</v>
      </c>
      <c r="H24" s="9" t="s">
        <v>287</v>
      </c>
      <c r="I24" s="10">
        <v>0.4</v>
      </c>
      <c r="J24" s="15">
        <v>85</v>
      </c>
      <c r="K24" s="15">
        <v>48</v>
      </c>
      <c r="L24" s="15">
        <v>32</v>
      </c>
      <c r="M24" s="15">
        <v>110</v>
      </c>
      <c r="P24" s="11">
        <v>63</v>
      </c>
      <c r="Q24" s="9">
        <v>1</v>
      </c>
      <c r="R24" s="9">
        <v>4</v>
      </c>
      <c r="S24" s="9">
        <v>5.5</v>
      </c>
      <c r="T24" s="9">
        <v>24.86</v>
      </c>
      <c r="U24" s="9">
        <v>5.19</v>
      </c>
      <c r="V24" s="9">
        <v>22.27</v>
      </c>
      <c r="W24" s="9">
        <v>3.07</v>
      </c>
      <c r="X24" s="9">
        <v>12.07</v>
      </c>
      <c r="Y24" s="9">
        <f t="shared" si="8"/>
        <v>0.22123893805309736</v>
      </c>
      <c r="Z24" s="9">
        <f t="shared" si="9"/>
        <v>0.23304894476874721</v>
      </c>
      <c r="AA24" s="9">
        <f t="shared" si="10"/>
        <v>0.25434962717481358</v>
      </c>
      <c r="AP24" s="9">
        <f t="shared" si="6"/>
        <v>1</v>
      </c>
      <c r="AQ24" s="9">
        <f t="shared" si="11"/>
        <v>0.25434962717481358</v>
      </c>
      <c r="AR24" s="11">
        <f t="shared" si="7"/>
        <v>63</v>
      </c>
    </row>
    <row r="25" spans="1:44" ht="15" customHeight="1" x14ac:dyDescent="0.2">
      <c r="A25" s="9" t="s">
        <v>823</v>
      </c>
      <c r="B25" s="9">
        <v>9</v>
      </c>
      <c r="C25" s="9" t="s">
        <v>243</v>
      </c>
      <c r="D25" s="9" t="s">
        <v>253</v>
      </c>
      <c r="E25" s="9" t="s">
        <v>262</v>
      </c>
      <c r="F25" s="9" t="s">
        <v>841</v>
      </c>
      <c r="G25" s="9" t="s">
        <v>832</v>
      </c>
      <c r="H25" s="9" t="s">
        <v>1110</v>
      </c>
      <c r="I25" s="10">
        <v>0.4</v>
      </c>
      <c r="J25" s="15">
        <v>58</v>
      </c>
      <c r="K25" s="15">
        <v>33</v>
      </c>
      <c r="L25" s="15">
        <v>19</v>
      </c>
      <c r="M25" s="15">
        <v>41.5</v>
      </c>
      <c r="N25" s="9" t="s">
        <v>1105</v>
      </c>
      <c r="O25" s="9" t="s">
        <v>1108</v>
      </c>
      <c r="P25" s="11">
        <v>63</v>
      </c>
      <c r="Q25" s="9">
        <v>2</v>
      </c>
      <c r="R25" s="9">
        <v>7</v>
      </c>
      <c r="S25" s="9">
        <v>10.51</v>
      </c>
      <c r="T25" s="9">
        <v>16.54</v>
      </c>
      <c r="U25" s="9">
        <v>15.14</v>
      </c>
      <c r="V25" s="9">
        <v>19.84</v>
      </c>
      <c r="W25" s="9">
        <v>14.47</v>
      </c>
      <c r="X25" s="9">
        <v>17.920000000000002</v>
      </c>
      <c r="Y25" s="9">
        <f t="shared" si="8"/>
        <v>0.63542926239419595</v>
      </c>
      <c r="Z25" s="9">
        <f t="shared" si="9"/>
        <v>0.76310483870967749</v>
      </c>
      <c r="AA25" s="9">
        <f t="shared" si="10"/>
        <v>0.80747767857142849</v>
      </c>
      <c r="AP25" s="9">
        <f t="shared" si="6"/>
        <v>2</v>
      </c>
      <c r="AQ25" s="9">
        <f t="shared" si="11"/>
        <v>0.80747767857142849</v>
      </c>
      <c r="AR25" s="11">
        <f t="shared" si="7"/>
        <v>63</v>
      </c>
    </row>
    <row r="26" spans="1:44" ht="15" customHeight="1" x14ac:dyDescent="0.2">
      <c r="A26" s="9" t="s">
        <v>828</v>
      </c>
      <c r="B26" s="9">
        <v>9</v>
      </c>
      <c r="C26" s="9" t="s">
        <v>242</v>
      </c>
      <c r="D26" s="9" t="s">
        <v>251</v>
      </c>
      <c r="E26" s="9" t="s">
        <v>261</v>
      </c>
      <c r="F26" s="9" t="s">
        <v>841</v>
      </c>
      <c r="G26" s="9" t="s">
        <v>839</v>
      </c>
      <c r="H26" s="9" t="s">
        <v>1110</v>
      </c>
      <c r="I26" s="10">
        <v>0.15</v>
      </c>
      <c r="J26" s="15">
        <v>108</v>
      </c>
      <c r="K26" s="15">
        <v>67</v>
      </c>
      <c r="L26" s="15">
        <v>22</v>
      </c>
      <c r="M26" s="15">
        <v>179.8</v>
      </c>
      <c r="N26" s="9" t="s">
        <v>1104</v>
      </c>
      <c r="O26" s="9" t="s">
        <v>1109</v>
      </c>
      <c r="P26" s="11">
        <v>42</v>
      </c>
      <c r="Q26" s="9">
        <v>1</v>
      </c>
      <c r="R26" s="9">
        <v>5</v>
      </c>
      <c r="S26" s="9">
        <v>4.83</v>
      </c>
      <c r="T26" s="9">
        <v>21.1</v>
      </c>
      <c r="U26" s="9">
        <v>6.32</v>
      </c>
      <c r="V26" s="9">
        <v>21.69</v>
      </c>
      <c r="W26" s="9">
        <v>5.63</v>
      </c>
      <c r="X26" s="9">
        <v>21.84</v>
      </c>
      <c r="Y26" s="9">
        <f t="shared" si="8"/>
        <v>0.22890995260663505</v>
      </c>
      <c r="Z26" s="9">
        <f t="shared" si="9"/>
        <v>0.29137851544490551</v>
      </c>
      <c r="AA26" s="9">
        <f t="shared" si="10"/>
        <v>0.25778388278388276</v>
      </c>
      <c r="AP26" s="9">
        <f t="shared" si="6"/>
        <v>1</v>
      </c>
      <c r="AQ26" s="9">
        <f t="shared" si="11"/>
        <v>0.25778388278388276</v>
      </c>
      <c r="AR26" s="11">
        <f t="shared" si="7"/>
        <v>42</v>
      </c>
    </row>
    <row r="27" spans="1:44" ht="15" customHeight="1" x14ac:dyDescent="0.2">
      <c r="A27" s="9" t="s">
        <v>1030</v>
      </c>
      <c r="B27" s="9">
        <v>9</v>
      </c>
      <c r="C27" s="9" t="s">
        <v>243</v>
      </c>
      <c r="D27" s="9" t="s">
        <v>251</v>
      </c>
      <c r="E27" s="9" t="s">
        <v>260</v>
      </c>
      <c r="F27" s="9" t="s">
        <v>841</v>
      </c>
      <c r="G27" s="9" t="s">
        <v>839</v>
      </c>
      <c r="H27" s="9" t="s">
        <v>1110</v>
      </c>
      <c r="I27" s="10">
        <v>0.55000000000000004</v>
      </c>
      <c r="J27" s="15">
        <v>68</v>
      </c>
      <c r="K27" s="15">
        <v>61</v>
      </c>
      <c r="L27" s="15">
        <v>27</v>
      </c>
      <c r="M27" s="15">
        <v>119.2</v>
      </c>
      <c r="N27" s="9" t="s">
        <v>1105</v>
      </c>
      <c r="O27" s="9" t="s">
        <v>1109</v>
      </c>
      <c r="P27" s="11">
        <v>54</v>
      </c>
      <c r="Q27" s="9">
        <v>1</v>
      </c>
      <c r="R27" s="9">
        <v>6</v>
      </c>
      <c r="S27" s="9">
        <v>5.8</v>
      </c>
      <c r="T27" s="9">
        <v>27</v>
      </c>
      <c r="U27" s="9">
        <v>3.9</v>
      </c>
      <c r="V27" s="9">
        <v>24.88</v>
      </c>
      <c r="W27" s="9">
        <v>4.09</v>
      </c>
      <c r="X27" s="9">
        <v>27.83</v>
      </c>
      <c r="Y27" s="9">
        <f t="shared" si="8"/>
        <v>0.21481481481481482</v>
      </c>
      <c r="Z27" s="9">
        <f t="shared" si="9"/>
        <v>0.15675241157556272</v>
      </c>
      <c r="AA27" s="9">
        <f t="shared" si="10"/>
        <v>0.14696370822853036</v>
      </c>
      <c r="AP27" s="9">
        <f t="shared" si="6"/>
        <v>1</v>
      </c>
      <c r="AQ27" s="9">
        <f t="shared" si="11"/>
        <v>0.14696370822853036</v>
      </c>
      <c r="AR27" s="11">
        <f t="shared" si="7"/>
        <v>54</v>
      </c>
    </row>
    <row r="28" spans="1:44" ht="15" customHeight="1" x14ac:dyDescent="0.2">
      <c r="A28" s="9" t="s">
        <v>831</v>
      </c>
      <c r="B28" s="9">
        <v>9</v>
      </c>
      <c r="C28" s="9" t="s">
        <v>242</v>
      </c>
      <c r="D28" s="9" t="s">
        <v>251</v>
      </c>
      <c r="E28" s="9" t="s">
        <v>260</v>
      </c>
      <c r="F28" s="9" t="s">
        <v>841</v>
      </c>
      <c r="G28" s="9" t="s">
        <v>836</v>
      </c>
      <c r="H28" s="9" t="s">
        <v>1111</v>
      </c>
      <c r="I28" s="10">
        <v>0.9</v>
      </c>
      <c r="J28" s="15">
        <v>96</v>
      </c>
      <c r="K28" s="15">
        <v>91</v>
      </c>
      <c r="L28" s="15">
        <v>55</v>
      </c>
      <c r="M28" s="15">
        <v>640.70000000000005</v>
      </c>
    </row>
    <row r="29" spans="1:44" ht="15" customHeight="1" x14ac:dyDescent="0.2">
      <c r="A29" s="9" t="s">
        <v>805</v>
      </c>
      <c r="B29" s="9">
        <v>11</v>
      </c>
      <c r="C29" s="9" t="s">
        <v>245</v>
      </c>
      <c r="D29" s="9" t="s">
        <v>253</v>
      </c>
      <c r="E29" s="9" t="s">
        <v>261</v>
      </c>
      <c r="F29" s="9" t="s">
        <v>841</v>
      </c>
      <c r="G29" s="9" t="s">
        <v>835</v>
      </c>
      <c r="H29" s="9" t="s">
        <v>1111</v>
      </c>
      <c r="I29" s="10">
        <v>0.45</v>
      </c>
      <c r="J29" s="15">
        <v>60</v>
      </c>
      <c r="K29" s="15">
        <v>45</v>
      </c>
      <c r="L29" s="15">
        <v>39</v>
      </c>
      <c r="M29" s="15">
        <v>124.7</v>
      </c>
      <c r="P29" s="11">
        <v>70</v>
      </c>
      <c r="Q29" s="9">
        <v>2</v>
      </c>
      <c r="R29" s="9">
        <v>15</v>
      </c>
      <c r="S29" s="9">
        <v>10.29</v>
      </c>
      <c r="T29" s="9">
        <v>31.3</v>
      </c>
      <c r="U29" s="9">
        <v>15.03</v>
      </c>
      <c r="V29" s="9">
        <v>34.22</v>
      </c>
      <c r="W29" s="9">
        <v>18.010000000000002</v>
      </c>
      <c r="X29" s="9">
        <v>34</v>
      </c>
      <c r="Y29" s="9">
        <f>S29/T29</f>
        <v>0.32875399361022362</v>
      </c>
      <c r="Z29" s="9">
        <f>U29/V29</f>
        <v>0.43921683226183517</v>
      </c>
      <c r="AA29" s="9">
        <f>W29/X29</f>
        <v>0.52970588235294125</v>
      </c>
      <c r="AP29" s="9">
        <f>AVERAGE(AE29,Q29)</f>
        <v>2</v>
      </c>
      <c r="AQ29" s="9">
        <f>AVERAGE(AA29,AO29)</f>
        <v>0.52970588235294125</v>
      </c>
      <c r="AR29" s="11">
        <f>AVERAGE(AD29,P29)</f>
        <v>70</v>
      </c>
    </row>
    <row r="30" spans="1:44" ht="15" customHeight="1" x14ac:dyDescent="0.2">
      <c r="A30" s="9" t="s">
        <v>821</v>
      </c>
      <c r="B30" s="9">
        <v>11</v>
      </c>
      <c r="C30" s="9" t="s">
        <v>245</v>
      </c>
      <c r="D30" s="9" t="s">
        <v>251</v>
      </c>
      <c r="E30" s="9" t="s">
        <v>260</v>
      </c>
      <c r="F30" s="9" t="s">
        <v>841</v>
      </c>
      <c r="G30" s="9" t="s">
        <v>840</v>
      </c>
      <c r="H30" s="9" t="s">
        <v>1110</v>
      </c>
      <c r="I30" s="10">
        <v>0.15</v>
      </c>
      <c r="J30" s="15">
        <v>80</v>
      </c>
      <c r="K30" s="15">
        <v>65</v>
      </c>
      <c r="L30" s="15">
        <v>33</v>
      </c>
      <c r="M30" s="15">
        <v>208.1</v>
      </c>
      <c r="N30" s="9" t="s">
        <v>1104</v>
      </c>
      <c r="O30" s="9" t="s">
        <v>1108</v>
      </c>
      <c r="P30" s="11">
        <v>49</v>
      </c>
      <c r="Q30" s="9">
        <v>1</v>
      </c>
      <c r="R30" s="9">
        <v>6</v>
      </c>
      <c r="S30" s="9">
        <v>22.16</v>
      </c>
      <c r="T30" s="9">
        <v>36.340000000000003</v>
      </c>
      <c r="U30" s="9">
        <v>12.4</v>
      </c>
      <c r="V30" s="9">
        <v>33.93</v>
      </c>
      <c r="W30" s="9">
        <v>17.53</v>
      </c>
      <c r="X30" s="9">
        <v>20.95</v>
      </c>
      <c r="Y30" s="9">
        <f>S30/T30</f>
        <v>0.60979636763896528</v>
      </c>
      <c r="Z30" s="9">
        <f>U30/V30</f>
        <v>0.36545829649277928</v>
      </c>
      <c r="AA30" s="9">
        <f>W30/X30</f>
        <v>0.83675417661097862</v>
      </c>
      <c r="AP30" s="9">
        <f>AVERAGE(AE30,Q30)</f>
        <v>1</v>
      </c>
      <c r="AQ30" s="9">
        <f>AVERAGE(AA30,AO30)</f>
        <v>0.83675417661097862</v>
      </c>
      <c r="AR30" s="11">
        <f>AVERAGE(AD30,P30)</f>
        <v>49</v>
      </c>
    </row>
    <row r="31" spans="1:44" ht="15" customHeight="1" x14ac:dyDescent="0.2">
      <c r="A31" s="9" t="s">
        <v>824</v>
      </c>
      <c r="B31" s="9">
        <v>11</v>
      </c>
      <c r="C31" s="9" t="s">
        <v>245</v>
      </c>
      <c r="D31" s="9" t="s">
        <v>251</v>
      </c>
      <c r="E31" s="9" t="s">
        <v>263</v>
      </c>
      <c r="F31" s="9" t="s">
        <v>841</v>
      </c>
      <c r="G31" s="9" t="s">
        <v>832</v>
      </c>
      <c r="H31" s="9" t="s">
        <v>837</v>
      </c>
      <c r="I31" s="10">
        <v>0.5</v>
      </c>
      <c r="J31" s="15">
        <v>71</v>
      </c>
      <c r="K31" s="15">
        <v>51</v>
      </c>
      <c r="L31" s="15">
        <v>18</v>
      </c>
      <c r="M31" s="15">
        <v>65.7</v>
      </c>
      <c r="N31" s="9" t="s">
        <v>1105</v>
      </c>
      <c r="O31" s="9" t="s">
        <v>1107</v>
      </c>
      <c r="P31" s="11">
        <v>66</v>
      </c>
      <c r="Q31" s="9">
        <v>3</v>
      </c>
      <c r="R31" s="9">
        <v>10</v>
      </c>
      <c r="S31" s="9">
        <v>14.4</v>
      </c>
      <c r="T31" s="9">
        <v>15.6</v>
      </c>
      <c r="U31" s="9">
        <v>14.7</v>
      </c>
      <c r="V31" s="9">
        <v>15.8</v>
      </c>
      <c r="W31" s="9">
        <v>15.1</v>
      </c>
      <c r="X31" s="9">
        <v>15.9</v>
      </c>
      <c r="Y31" s="9">
        <f>S31/T31</f>
        <v>0.92307692307692313</v>
      </c>
      <c r="Z31" s="9">
        <f>U31/V31</f>
        <v>0.930379746835443</v>
      </c>
      <c r="AA31" s="9">
        <f>W31/X31</f>
        <v>0.94968553459119498</v>
      </c>
      <c r="AP31" s="9">
        <f>AVERAGE(AE31,Q31)</f>
        <v>3</v>
      </c>
      <c r="AQ31" s="9">
        <f>AVERAGE(AA31,AO31)</f>
        <v>0.94968553459119498</v>
      </c>
      <c r="AR31" s="11">
        <f>AVERAGE(AD31,P31)</f>
        <v>66</v>
      </c>
    </row>
    <row r="32" spans="1:44" ht="15" customHeight="1" x14ac:dyDescent="0.2">
      <c r="A32" s="9" t="s">
        <v>636</v>
      </c>
      <c r="B32" s="9">
        <v>11</v>
      </c>
      <c r="C32" s="9" t="s">
        <v>246</v>
      </c>
      <c r="D32" s="9" t="s">
        <v>252</v>
      </c>
      <c r="E32" s="9" t="s">
        <v>261</v>
      </c>
      <c r="F32" s="9" t="s">
        <v>841</v>
      </c>
      <c r="G32" s="9" t="s">
        <v>836</v>
      </c>
      <c r="H32" s="9" t="s">
        <v>1111</v>
      </c>
      <c r="I32" s="10">
        <v>0.9</v>
      </c>
      <c r="J32" s="15">
        <v>80</v>
      </c>
      <c r="K32" s="15">
        <v>78</v>
      </c>
      <c r="L32" s="15">
        <v>57</v>
      </c>
      <c r="M32" s="15">
        <v>495.2</v>
      </c>
    </row>
    <row r="33" spans="1:44" ht="15" customHeight="1" x14ac:dyDescent="0.2">
      <c r="A33" s="9" t="s">
        <v>808</v>
      </c>
      <c r="B33" s="9">
        <v>12</v>
      </c>
      <c r="C33" s="9" t="s">
        <v>247</v>
      </c>
      <c r="D33" s="9" t="s">
        <v>251</v>
      </c>
      <c r="E33" s="9" t="s">
        <v>260</v>
      </c>
      <c r="F33" s="9" t="s">
        <v>841</v>
      </c>
      <c r="G33" s="9" t="s">
        <v>834</v>
      </c>
      <c r="H33" s="9" t="s">
        <v>1110</v>
      </c>
      <c r="I33" s="10">
        <v>0.2</v>
      </c>
      <c r="J33" s="15">
        <v>43</v>
      </c>
      <c r="K33" s="15">
        <v>36</v>
      </c>
      <c r="L33" s="15">
        <v>12</v>
      </c>
      <c r="M33" s="15">
        <v>19.5</v>
      </c>
      <c r="N33" s="9" t="s">
        <v>1104</v>
      </c>
      <c r="O33" s="9" t="s">
        <v>1109</v>
      </c>
      <c r="P33" s="11">
        <v>45</v>
      </c>
      <c r="Q33" s="9">
        <v>1</v>
      </c>
      <c r="R33" s="9">
        <v>6</v>
      </c>
      <c r="S33" s="9">
        <v>2.2799999999999998</v>
      </c>
      <c r="T33" s="9">
        <v>11.62</v>
      </c>
      <c r="U33" s="9">
        <v>1.85</v>
      </c>
      <c r="V33" s="9">
        <v>10.56</v>
      </c>
      <c r="W33" s="9">
        <v>2.54</v>
      </c>
      <c r="X33" s="9">
        <v>10.55</v>
      </c>
      <c r="Y33" s="9">
        <f>S33/T33</f>
        <v>0.19621342512908777</v>
      </c>
      <c r="Z33" s="9">
        <f>U33/V33</f>
        <v>0.17518939393939395</v>
      </c>
      <c r="AA33" s="9">
        <f>W33/X33</f>
        <v>0.24075829383886255</v>
      </c>
      <c r="AP33" s="9">
        <f>AVERAGE(AE33,Q33)</f>
        <v>1</v>
      </c>
      <c r="AQ33" s="9">
        <f>AVERAGE(AA33,AO33)</f>
        <v>0.24075829383886255</v>
      </c>
      <c r="AR33" s="11">
        <f>AVERAGE(AD33,P33)</f>
        <v>45</v>
      </c>
    </row>
    <row r="34" spans="1:44" ht="15" customHeight="1" x14ac:dyDescent="0.2">
      <c r="A34" s="9" t="s">
        <v>817</v>
      </c>
      <c r="B34" s="9">
        <v>12</v>
      </c>
      <c r="C34" s="9" t="s">
        <v>247</v>
      </c>
      <c r="D34" s="9" t="s">
        <v>251</v>
      </c>
      <c r="E34" s="9" t="s">
        <v>260</v>
      </c>
      <c r="F34" s="9" t="s">
        <v>841</v>
      </c>
      <c r="G34" s="9" t="s">
        <v>835</v>
      </c>
      <c r="H34" s="9" t="s">
        <v>1111</v>
      </c>
      <c r="I34" s="10">
        <v>0.7</v>
      </c>
      <c r="J34" s="15">
        <v>76</v>
      </c>
      <c r="K34" s="15">
        <v>56</v>
      </c>
      <c r="L34" s="15">
        <v>20</v>
      </c>
      <c r="M34" s="15">
        <v>143</v>
      </c>
      <c r="P34" s="11">
        <v>66</v>
      </c>
      <c r="Q34" s="9">
        <v>2</v>
      </c>
      <c r="R34" s="9">
        <v>5</v>
      </c>
      <c r="S34" s="9">
        <v>14.49</v>
      </c>
      <c r="T34" s="9">
        <v>19.75</v>
      </c>
      <c r="U34" s="9">
        <v>15.78</v>
      </c>
      <c r="V34" s="9">
        <v>19.21</v>
      </c>
      <c r="W34" s="9">
        <v>15.3</v>
      </c>
      <c r="X34" s="9">
        <v>20.58</v>
      </c>
      <c r="Y34" s="9">
        <f>S34/T34</f>
        <v>0.73367088607594932</v>
      </c>
      <c r="Z34" s="9">
        <f>U34/V34</f>
        <v>0.82144716293597075</v>
      </c>
      <c r="AA34" s="9">
        <f>W34/X34</f>
        <v>0.74344023323615172</v>
      </c>
      <c r="AP34" s="9">
        <f>AVERAGE(AE34,Q34)</f>
        <v>2</v>
      </c>
      <c r="AQ34" s="9">
        <f>AVERAGE(AA34,AO34)</f>
        <v>0.74344023323615172</v>
      </c>
      <c r="AR34" s="11">
        <f>AVERAGE(AD34,P34)</f>
        <v>66</v>
      </c>
    </row>
    <row r="35" spans="1:44" ht="15" customHeight="1" x14ac:dyDescent="0.2">
      <c r="A35" s="9" t="s">
        <v>829</v>
      </c>
      <c r="B35" s="9">
        <v>12</v>
      </c>
      <c r="C35" s="9" t="s">
        <v>247</v>
      </c>
      <c r="D35" s="9" t="s">
        <v>252</v>
      </c>
      <c r="E35" s="9" t="s">
        <v>262</v>
      </c>
      <c r="F35" s="9" t="s">
        <v>841</v>
      </c>
      <c r="G35" s="9" t="s">
        <v>836</v>
      </c>
      <c r="H35" s="9" t="s">
        <v>1111</v>
      </c>
      <c r="I35" s="10">
        <v>0.8</v>
      </c>
      <c r="J35" s="15">
        <v>79</v>
      </c>
      <c r="K35" s="15">
        <v>60</v>
      </c>
      <c r="L35" s="15">
        <v>43</v>
      </c>
      <c r="M35" s="15">
        <v>251.3</v>
      </c>
    </row>
  </sheetData>
  <autoFilter ref="A1:AR35" xr:uid="{1EA5606B-9C5B-477B-A194-DADB60DE41F1}">
    <sortState xmlns:xlrd2="http://schemas.microsoft.com/office/spreadsheetml/2017/richdata2" ref="A2:AR35">
      <sortCondition ref="B2:B35"/>
    </sortState>
  </autoFilter>
  <phoneticPr fontId="2" type="noConversion"/>
  <conditionalFormatting sqref="A1">
    <cfRule type="duplicateValues" dxfId="2" priority="1"/>
  </conditionalFormatting>
  <dataValidations count="1">
    <dataValidation allowBlank="1" showInputMessage="1" sqref="E1:XFD1" xr:uid="{638A9252-25C6-4550-A092-2675BA57CEC2}"/>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AED10-19BC-4AFB-B30A-CFFCE7DC7FCD}">
  <dimension ref="A1:K925"/>
  <sheetViews>
    <sheetView tabSelected="1" zoomScale="85" zoomScaleNormal="85" workbookViewId="0">
      <selection activeCell="E24" sqref="E24"/>
    </sheetView>
  </sheetViews>
  <sheetFormatPr defaultColWidth="8.625" defaultRowHeight="15" customHeight="1" x14ac:dyDescent="0.2"/>
  <cols>
    <col min="1" max="1" width="18.625" style="9" customWidth="1"/>
    <col min="2" max="2" width="5.875" style="9" customWidth="1"/>
    <col min="3" max="3" width="7.875" style="9" customWidth="1"/>
    <col min="4" max="4" width="12.375" style="9" customWidth="1"/>
    <col min="5" max="5" width="13.875" style="9" customWidth="1"/>
    <col min="6" max="6" width="13.375" style="9" customWidth="1"/>
    <col min="7" max="7" width="8.625" style="10"/>
    <col min="8" max="11" width="8.625" style="15"/>
    <col min="12" max="16384" width="8.625" style="9"/>
  </cols>
  <sheetData>
    <row r="1" spans="1:11" ht="20.100000000000001" customHeight="1" x14ac:dyDescent="0.2">
      <c r="A1" s="1" t="s">
        <v>0</v>
      </c>
      <c r="B1" s="2" t="s">
        <v>1</v>
      </c>
      <c r="C1" s="2" t="s">
        <v>2</v>
      </c>
      <c r="D1" s="2" t="s">
        <v>3</v>
      </c>
      <c r="E1" s="2" t="s">
        <v>6</v>
      </c>
      <c r="F1" s="2" t="s">
        <v>7</v>
      </c>
      <c r="G1" s="2" t="s">
        <v>8</v>
      </c>
      <c r="H1" s="14" t="s">
        <v>9</v>
      </c>
      <c r="I1" s="14" t="s">
        <v>10</v>
      </c>
      <c r="J1" s="14" t="s">
        <v>11</v>
      </c>
      <c r="K1" s="14" t="s">
        <v>12</v>
      </c>
    </row>
    <row r="2" spans="1:11" ht="15" customHeight="1" x14ac:dyDescent="0.2">
      <c r="A2" s="9" t="s">
        <v>221</v>
      </c>
      <c r="B2" s="9" t="s">
        <v>1564</v>
      </c>
      <c r="C2" s="9" t="s">
        <v>236</v>
      </c>
      <c r="D2" s="9" t="s">
        <v>251</v>
      </c>
      <c r="E2" s="9" t="s">
        <v>262</v>
      </c>
      <c r="F2" s="9" t="s">
        <v>695</v>
      </c>
      <c r="G2" s="10">
        <v>0.6</v>
      </c>
      <c r="H2" s="15">
        <v>55</v>
      </c>
      <c r="I2" s="15">
        <v>56</v>
      </c>
      <c r="J2" s="15">
        <v>31</v>
      </c>
      <c r="K2" s="15">
        <v>115.1</v>
      </c>
    </row>
    <row r="3" spans="1:11" ht="15" customHeight="1" x14ac:dyDescent="0.2">
      <c r="A3" s="9" t="s">
        <v>173</v>
      </c>
      <c r="B3" s="9" t="s">
        <v>1564</v>
      </c>
      <c r="C3" s="9" t="s">
        <v>236</v>
      </c>
      <c r="D3" s="9" t="s">
        <v>253</v>
      </c>
      <c r="E3" s="9" t="s">
        <v>261</v>
      </c>
      <c r="F3" s="9" t="s">
        <v>695</v>
      </c>
      <c r="G3" s="10">
        <v>0.4</v>
      </c>
      <c r="H3" s="15">
        <v>56</v>
      </c>
      <c r="I3" s="15">
        <v>49</v>
      </c>
      <c r="J3" s="15">
        <v>34</v>
      </c>
      <c r="K3" s="15">
        <v>101.4</v>
      </c>
    </row>
    <row r="4" spans="1:11" ht="15" customHeight="1" x14ac:dyDescent="0.2">
      <c r="A4" s="9" t="s">
        <v>48</v>
      </c>
      <c r="B4" s="9" t="s">
        <v>1564</v>
      </c>
      <c r="C4" s="9" t="s">
        <v>236</v>
      </c>
      <c r="D4" s="9" t="s">
        <v>257</v>
      </c>
      <c r="E4" s="9" t="s">
        <v>760</v>
      </c>
      <c r="F4" s="9" t="s">
        <v>695</v>
      </c>
      <c r="G4" s="10">
        <v>0.1</v>
      </c>
      <c r="H4" s="15">
        <v>92</v>
      </c>
      <c r="I4" s="15">
        <v>57</v>
      </c>
      <c r="J4" s="15">
        <v>25</v>
      </c>
      <c r="K4" s="15">
        <v>166.3</v>
      </c>
    </row>
    <row r="5" spans="1:11" ht="15" customHeight="1" x14ac:dyDescent="0.2">
      <c r="A5" s="9" t="s">
        <v>42</v>
      </c>
      <c r="B5" s="9" t="s">
        <v>1564</v>
      </c>
      <c r="C5" s="9" t="s">
        <v>236</v>
      </c>
      <c r="D5" s="9" t="s">
        <v>254</v>
      </c>
      <c r="E5" s="9" t="s">
        <v>261</v>
      </c>
      <c r="F5" s="9" t="s">
        <v>695</v>
      </c>
      <c r="G5" s="10">
        <v>0.4</v>
      </c>
      <c r="H5" s="15">
        <v>75</v>
      </c>
      <c r="I5" s="15">
        <v>64</v>
      </c>
      <c r="J5" s="15">
        <v>48</v>
      </c>
      <c r="K5" s="15">
        <v>259.8</v>
      </c>
    </row>
    <row r="6" spans="1:11" ht="15" customHeight="1" x14ac:dyDescent="0.2">
      <c r="A6" s="9" t="s">
        <v>51</v>
      </c>
      <c r="B6" s="9" t="s">
        <v>1564</v>
      </c>
      <c r="C6" s="9" t="s">
        <v>236</v>
      </c>
      <c r="D6" s="9" t="s">
        <v>251</v>
      </c>
      <c r="E6" s="9" t="s">
        <v>260</v>
      </c>
      <c r="F6" s="9" t="s">
        <v>695</v>
      </c>
      <c r="G6" s="10">
        <v>0.6</v>
      </c>
      <c r="H6" s="15">
        <v>76</v>
      </c>
      <c r="I6" s="15">
        <v>47</v>
      </c>
      <c r="J6" s="15">
        <v>26</v>
      </c>
      <c r="K6" s="15">
        <v>103</v>
      </c>
    </row>
    <row r="7" spans="1:11" ht="15" customHeight="1" x14ac:dyDescent="0.2">
      <c r="A7" s="9" t="s">
        <v>175</v>
      </c>
      <c r="B7" s="9" t="s">
        <v>1565</v>
      </c>
      <c r="C7" s="9" t="s">
        <v>237</v>
      </c>
      <c r="D7" s="9" t="s">
        <v>253</v>
      </c>
      <c r="E7" s="9" t="s">
        <v>261</v>
      </c>
      <c r="F7" s="9" t="s">
        <v>695</v>
      </c>
      <c r="G7" s="10">
        <v>0.3</v>
      </c>
      <c r="H7" s="15">
        <v>70</v>
      </c>
      <c r="I7" s="15">
        <v>48</v>
      </c>
      <c r="J7" s="15">
        <v>38</v>
      </c>
      <c r="K7" s="15">
        <v>133</v>
      </c>
    </row>
    <row r="8" spans="1:11" ht="15" customHeight="1" x14ac:dyDescent="0.2">
      <c r="A8" s="9" t="s">
        <v>59</v>
      </c>
      <c r="B8" s="9" t="s">
        <v>1565</v>
      </c>
      <c r="C8" s="9" t="s">
        <v>237</v>
      </c>
      <c r="D8" s="9" t="s">
        <v>251</v>
      </c>
      <c r="E8" s="9" t="s">
        <v>262</v>
      </c>
      <c r="F8" s="9" t="s">
        <v>695</v>
      </c>
      <c r="G8" s="10">
        <v>0.4</v>
      </c>
      <c r="H8" s="15">
        <v>70</v>
      </c>
      <c r="I8" s="15">
        <v>54</v>
      </c>
      <c r="J8" s="15">
        <v>40</v>
      </c>
      <c r="K8" s="15">
        <v>145.69999999999999</v>
      </c>
    </row>
    <row r="9" spans="1:11" ht="15" customHeight="1" x14ac:dyDescent="0.2">
      <c r="A9" s="9" t="s">
        <v>62</v>
      </c>
      <c r="B9" s="9" t="s">
        <v>1567</v>
      </c>
      <c r="C9" s="9" t="s">
        <v>238</v>
      </c>
      <c r="D9" s="9" t="s">
        <v>255</v>
      </c>
      <c r="E9" s="9" t="s">
        <v>260</v>
      </c>
      <c r="F9" s="9" t="s">
        <v>695</v>
      </c>
      <c r="G9" s="10">
        <v>0.45</v>
      </c>
      <c r="H9" s="15">
        <v>114</v>
      </c>
      <c r="I9" s="15">
        <v>103</v>
      </c>
      <c r="J9" s="15">
        <v>64</v>
      </c>
      <c r="K9" s="15">
        <v>587</v>
      </c>
    </row>
    <row r="10" spans="1:11" ht="15" customHeight="1" x14ac:dyDescent="0.2">
      <c r="A10" s="9" t="s">
        <v>186</v>
      </c>
      <c r="B10" s="9" t="s">
        <v>1568</v>
      </c>
      <c r="C10" s="9" t="s">
        <v>249</v>
      </c>
      <c r="D10" s="9" t="s">
        <v>257</v>
      </c>
      <c r="E10" s="9" t="s">
        <v>261</v>
      </c>
      <c r="F10" s="9" t="s">
        <v>695</v>
      </c>
      <c r="G10" s="10">
        <v>0.4</v>
      </c>
      <c r="H10" s="15">
        <v>64</v>
      </c>
      <c r="I10" s="15">
        <v>64</v>
      </c>
      <c r="J10" s="15">
        <v>39</v>
      </c>
      <c r="K10" s="15">
        <v>183.4</v>
      </c>
    </row>
    <row r="11" spans="1:11" ht="15" customHeight="1" x14ac:dyDescent="0.2">
      <c r="A11" s="9" t="s">
        <v>70</v>
      </c>
      <c r="B11" s="9" t="s">
        <v>1568</v>
      </c>
      <c r="C11" s="9" t="s">
        <v>240</v>
      </c>
      <c r="D11" s="9" t="s">
        <v>251</v>
      </c>
      <c r="E11" s="9" t="s">
        <v>260</v>
      </c>
      <c r="F11" s="9" t="s">
        <v>695</v>
      </c>
      <c r="G11" s="10">
        <v>0.55000000000000004</v>
      </c>
      <c r="H11" s="15">
        <v>79</v>
      </c>
      <c r="I11" s="15">
        <v>62</v>
      </c>
      <c r="J11" s="15">
        <v>50</v>
      </c>
      <c r="K11" s="15">
        <v>456</v>
      </c>
    </row>
    <row r="12" spans="1:11" ht="15" customHeight="1" x14ac:dyDescent="0.2">
      <c r="A12" s="9" t="s">
        <v>732</v>
      </c>
      <c r="B12" s="9" t="s">
        <v>1568</v>
      </c>
      <c r="C12" s="9" t="s">
        <v>249</v>
      </c>
      <c r="D12" s="9" t="s">
        <v>733</v>
      </c>
      <c r="E12" s="9" t="s">
        <v>737</v>
      </c>
      <c r="F12" s="9" t="s">
        <v>695</v>
      </c>
      <c r="G12" s="10">
        <v>0.55000000000000004</v>
      </c>
      <c r="H12" s="15">
        <v>52</v>
      </c>
      <c r="I12" s="15">
        <v>40</v>
      </c>
      <c r="J12" s="15">
        <v>28</v>
      </c>
      <c r="K12" s="22">
        <v>63.6</v>
      </c>
    </row>
    <row r="13" spans="1:11" ht="15" customHeight="1" x14ac:dyDescent="0.2">
      <c r="A13" s="9" t="s">
        <v>226</v>
      </c>
      <c r="B13" s="9" t="s">
        <v>1568</v>
      </c>
      <c r="C13" s="9" t="s">
        <v>240</v>
      </c>
      <c r="D13" s="9" t="s">
        <v>251</v>
      </c>
      <c r="E13" s="9" t="s">
        <v>260</v>
      </c>
      <c r="F13" s="9" t="s">
        <v>695</v>
      </c>
      <c r="G13" s="10">
        <v>0.6</v>
      </c>
      <c r="H13" s="15">
        <v>63</v>
      </c>
      <c r="I13" s="15">
        <v>53</v>
      </c>
      <c r="J13" s="15">
        <v>33</v>
      </c>
      <c r="K13" s="15">
        <v>129.4</v>
      </c>
    </row>
    <row r="14" spans="1:11" ht="15" customHeight="1" x14ac:dyDescent="0.2">
      <c r="A14" s="9" t="s">
        <v>177</v>
      </c>
      <c r="B14" s="9" t="s">
        <v>1568</v>
      </c>
      <c r="C14" s="9" t="s">
        <v>240</v>
      </c>
      <c r="D14" s="9" t="s">
        <v>253</v>
      </c>
      <c r="E14" s="9" t="s">
        <v>262</v>
      </c>
      <c r="F14" s="9" t="s">
        <v>695</v>
      </c>
      <c r="G14" s="10">
        <v>0.45</v>
      </c>
      <c r="H14" s="15">
        <v>83</v>
      </c>
      <c r="I14" s="15">
        <v>64</v>
      </c>
      <c r="J14" s="15">
        <v>57</v>
      </c>
      <c r="K14" s="15">
        <v>310.39999999999998</v>
      </c>
    </row>
    <row r="15" spans="1:11" ht="15" customHeight="1" x14ac:dyDescent="0.2">
      <c r="A15" s="9" t="s">
        <v>75</v>
      </c>
      <c r="B15" s="9" t="s">
        <v>1568</v>
      </c>
      <c r="C15" s="9" t="s">
        <v>240</v>
      </c>
      <c r="D15" s="9" t="s">
        <v>251</v>
      </c>
      <c r="E15" s="9" t="s">
        <v>261</v>
      </c>
      <c r="F15" s="9" t="s">
        <v>695</v>
      </c>
      <c r="G15" s="10">
        <v>0.4</v>
      </c>
      <c r="H15" s="15">
        <v>97</v>
      </c>
      <c r="I15" s="15">
        <v>55</v>
      </c>
      <c r="J15" s="15">
        <v>51</v>
      </c>
      <c r="K15" s="15">
        <v>377.8</v>
      </c>
    </row>
    <row r="16" spans="1:11" ht="15" customHeight="1" x14ac:dyDescent="0.2">
      <c r="A16" s="9" t="s">
        <v>72</v>
      </c>
      <c r="B16" s="9" t="s">
        <v>1568</v>
      </c>
      <c r="C16" s="9" t="s">
        <v>240</v>
      </c>
      <c r="D16" s="9" t="s">
        <v>251</v>
      </c>
      <c r="E16" s="9" t="s">
        <v>260</v>
      </c>
      <c r="F16" s="9" t="s">
        <v>695</v>
      </c>
      <c r="G16" s="10">
        <v>0.6</v>
      </c>
      <c r="H16" s="15">
        <v>49</v>
      </c>
      <c r="I16" s="15">
        <v>36</v>
      </c>
      <c r="J16" s="15">
        <v>25</v>
      </c>
      <c r="K16" s="15">
        <v>64.2</v>
      </c>
    </row>
    <row r="17" spans="1:11" ht="15" customHeight="1" x14ac:dyDescent="0.2">
      <c r="A17" s="9" t="s">
        <v>891</v>
      </c>
      <c r="B17" s="9" t="s">
        <v>1568</v>
      </c>
      <c r="C17" s="9" t="s">
        <v>240</v>
      </c>
      <c r="D17" s="9" t="s">
        <v>251</v>
      </c>
      <c r="E17" s="9" t="s">
        <v>262</v>
      </c>
      <c r="F17" s="9" t="s">
        <v>695</v>
      </c>
      <c r="G17" s="10">
        <v>0.7</v>
      </c>
      <c r="H17" s="15">
        <v>67</v>
      </c>
      <c r="I17" s="15">
        <v>67</v>
      </c>
      <c r="J17" s="15">
        <v>45</v>
      </c>
      <c r="K17" s="15">
        <v>246.9</v>
      </c>
    </row>
    <row r="18" spans="1:11" ht="15" customHeight="1" x14ac:dyDescent="0.2">
      <c r="A18" s="9" t="s">
        <v>867</v>
      </c>
      <c r="B18" s="9" t="s">
        <v>1568</v>
      </c>
      <c r="C18" s="9" t="s">
        <v>239</v>
      </c>
      <c r="D18" s="9" t="s">
        <v>251</v>
      </c>
      <c r="E18" s="9" t="s">
        <v>262</v>
      </c>
      <c r="F18" s="9" t="s">
        <v>695</v>
      </c>
      <c r="G18" s="10">
        <v>0.1</v>
      </c>
      <c r="H18" s="15">
        <v>66</v>
      </c>
      <c r="I18" s="15">
        <v>74</v>
      </c>
      <c r="J18" s="15">
        <v>25</v>
      </c>
      <c r="K18" s="15">
        <v>118.9</v>
      </c>
    </row>
    <row r="19" spans="1:11" ht="15" customHeight="1" x14ac:dyDescent="0.2">
      <c r="A19" s="9" t="s">
        <v>76</v>
      </c>
      <c r="B19" s="9" t="s">
        <v>1568</v>
      </c>
      <c r="C19" s="9" t="s">
        <v>240</v>
      </c>
      <c r="D19" s="9" t="s">
        <v>251</v>
      </c>
      <c r="E19" s="9" t="s">
        <v>262</v>
      </c>
      <c r="F19" s="9" t="s">
        <v>695</v>
      </c>
      <c r="G19" s="10">
        <v>0.55000000000000004</v>
      </c>
      <c r="H19" s="15">
        <v>65</v>
      </c>
      <c r="I19" s="15">
        <v>62</v>
      </c>
      <c r="J19" s="15">
        <v>45</v>
      </c>
      <c r="K19" s="15">
        <v>230.4</v>
      </c>
    </row>
    <row r="20" spans="1:11" ht="15" customHeight="1" x14ac:dyDescent="0.2">
      <c r="A20" s="9" t="s">
        <v>95</v>
      </c>
      <c r="B20" s="9" t="s">
        <v>1570</v>
      </c>
      <c r="C20" s="9" t="s">
        <v>243</v>
      </c>
      <c r="D20" s="9" t="s">
        <v>251</v>
      </c>
      <c r="E20" s="9" t="s">
        <v>261</v>
      </c>
      <c r="F20" s="9" t="s">
        <v>695</v>
      </c>
      <c r="G20" s="10">
        <v>0.6</v>
      </c>
      <c r="H20" s="15">
        <v>55</v>
      </c>
      <c r="I20" s="15">
        <v>40</v>
      </c>
      <c r="J20" s="15">
        <v>20</v>
      </c>
      <c r="K20" s="15">
        <v>60.6</v>
      </c>
    </row>
    <row r="21" spans="1:11" ht="15" customHeight="1" x14ac:dyDescent="0.2">
      <c r="A21" s="9" t="s">
        <v>734</v>
      </c>
      <c r="B21" s="9" t="s">
        <v>1570</v>
      </c>
      <c r="C21" s="9" t="s">
        <v>243</v>
      </c>
      <c r="D21" s="9" t="s">
        <v>257</v>
      </c>
      <c r="E21" s="9" t="s">
        <v>262</v>
      </c>
      <c r="F21" s="9" t="s">
        <v>695</v>
      </c>
      <c r="G21" s="10">
        <v>0.6</v>
      </c>
      <c r="H21" s="15">
        <v>44</v>
      </c>
      <c r="I21" s="15">
        <v>44</v>
      </c>
      <c r="J21" s="15">
        <v>31</v>
      </c>
      <c r="K21" s="15">
        <v>74.099999999999994</v>
      </c>
    </row>
    <row r="22" spans="1:11" ht="15" customHeight="1" x14ac:dyDescent="0.2">
      <c r="A22" s="9" t="s">
        <v>735</v>
      </c>
      <c r="B22" s="9" t="s">
        <v>1570</v>
      </c>
      <c r="C22" s="9" t="s">
        <v>243</v>
      </c>
      <c r="D22" s="9" t="s">
        <v>251</v>
      </c>
      <c r="E22" s="9" t="s">
        <v>262</v>
      </c>
      <c r="F22" s="9" t="s">
        <v>695</v>
      </c>
      <c r="G22" s="10">
        <v>0.5</v>
      </c>
      <c r="H22" s="15">
        <v>59</v>
      </c>
      <c r="I22" s="15">
        <v>49</v>
      </c>
      <c r="J22" s="15">
        <v>29</v>
      </c>
      <c r="K22" s="15">
        <v>88.9</v>
      </c>
    </row>
    <row r="23" spans="1:11" ht="15" customHeight="1" x14ac:dyDescent="0.2">
      <c r="A23" s="9" t="s">
        <v>736</v>
      </c>
      <c r="B23" s="9" t="s">
        <v>1570</v>
      </c>
      <c r="C23" s="9" t="s">
        <v>243</v>
      </c>
      <c r="D23" s="9" t="s">
        <v>251</v>
      </c>
      <c r="E23" s="9" t="s">
        <v>260</v>
      </c>
      <c r="F23" s="9" t="s">
        <v>695</v>
      </c>
      <c r="G23" s="10">
        <v>0.45</v>
      </c>
      <c r="H23" s="15">
        <v>59</v>
      </c>
      <c r="I23" s="15">
        <v>49</v>
      </c>
      <c r="J23" s="15">
        <v>32</v>
      </c>
      <c r="K23" s="15">
        <v>103.8</v>
      </c>
    </row>
    <row r="24" spans="1:11" ht="15" customHeight="1" x14ac:dyDescent="0.2">
      <c r="A24" s="9" t="s">
        <v>742</v>
      </c>
      <c r="B24" s="9" t="s">
        <v>1570</v>
      </c>
      <c r="C24" s="9" t="s">
        <v>242</v>
      </c>
      <c r="D24" s="9" t="s">
        <v>251</v>
      </c>
      <c r="E24" s="9" t="s">
        <v>262</v>
      </c>
      <c r="F24" s="9" t="s">
        <v>695</v>
      </c>
      <c r="G24" s="10">
        <v>0.55000000000000004</v>
      </c>
      <c r="H24" s="15">
        <v>56</v>
      </c>
      <c r="I24" s="15">
        <v>49</v>
      </c>
      <c r="J24" s="15">
        <v>35</v>
      </c>
      <c r="K24" s="15">
        <v>129.69999999999999</v>
      </c>
    </row>
    <row r="25" spans="1:11" ht="15" customHeight="1" x14ac:dyDescent="0.2">
      <c r="A25" s="9" t="s">
        <v>747</v>
      </c>
      <c r="B25" s="9" t="s">
        <v>1570</v>
      </c>
      <c r="C25" s="9" t="s">
        <v>243</v>
      </c>
      <c r="D25" s="9" t="s">
        <v>251</v>
      </c>
      <c r="E25" s="9" t="s">
        <v>261</v>
      </c>
      <c r="F25" s="9" t="s">
        <v>695</v>
      </c>
      <c r="G25" s="10">
        <v>0.45</v>
      </c>
      <c r="H25" s="15">
        <v>68</v>
      </c>
      <c r="I25" s="15">
        <v>49</v>
      </c>
      <c r="J25" s="15">
        <v>45</v>
      </c>
      <c r="K25" s="15">
        <v>188.9</v>
      </c>
    </row>
    <row r="26" spans="1:11" ht="15" customHeight="1" x14ac:dyDescent="0.2">
      <c r="A26" s="9" t="s">
        <v>81</v>
      </c>
      <c r="B26" s="9" t="s">
        <v>1570</v>
      </c>
      <c r="C26" s="9" t="s">
        <v>242</v>
      </c>
      <c r="D26" s="9" t="s">
        <v>253</v>
      </c>
      <c r="E26" s="9" t="s">
        <v>261</v>
      </c>
      <c r="F26" s="9" t="s">
        <v>695</v>
      </c>
      <c r="G26" s="10">
        <v>0.55000000000000004</v>
      </c>
      <c r="H26" s="15">
        <v>98</v>
      </c>
      <c r="I26" s="15">
        <v>50</v>
      </c>
      <c r="J26" s="15">
        <v>40</v>
      </c>
      <c r="K26" s="15">
        <v>211.2</v>
      </c>
    </row>
    <row r="27" spans="1:11" ht="15" customHeight="1" x14ac:dyDescent="0.2">
      <c r="A27" s="9" t="s">
        <v>749</v>
      </c>
      <c r="B27" s="9" t="s">
        <v>1570</v>
      </c>
      <c r="C27" s="9" t="s">
        <v>242</v>
      </c>
      <c r="D27" s="9" t="s">
        <v>251</v>
      </c>
      <c r="E27" s="9" t="s">
        <v>708</v>
      </c>
      <c r="F27" s="9" t="s">
        <v>695</v>
      </c>
      <c r="G27" s="10">
        <v>0.8</v>
      </c>
      <c r="H27" s="15">
        <v>65</v>
      </c>
      <c r="I27" s="15">
        <v>57</v>
      </c>
      <c r="J27" s="15">
        <v>24</v>
      </c>
      <c r="K27" s="15">
        <v>138.4</v>
      </c>
    </row>
    <row r="28" spans="1:11" ht="15" customHeight="1" x14ac:dyDescent="0.2">
      <c r="A28" s="9" t="s">
        <v>193</v>
      </c>
      <c r="B28" s="9" t="s">
        <v>1570</v>
      </c>
      <c r="C28" s="9" t="s">
        <v>242</v>
      </c>
      <c r="D28" s="9" t="s">
        <v>251</v>
      </c>
      <c r="E28" s="9" t="s">
        <v>261</v>
      </c>
      <c r="F28" s="9" t="s">
        <v>695</v>
      </c>
      <c r="G28" s="10">
        <v>0.3</v>
      </c>
      <c r="H28" s="15">
        <v>76</v>
      </c>
      <c r="I28" s="15">
        <v>61</v>
      </c>
      <c r="J28" s="15">
        <v>35</v>
      </c>
      <c r="K28" s="15">
        <v>157.69999999999999</v>
      </c>
    </row>
    <row r="29" spans="1:11" ht="15" customHeight="1" x14ac:dyDescent="0.2">
      <c r="A29" s="9" t="s">
        <v>80</v>
      </c>
      <c r="B29" s="9" t="s">
        <v>1570</v>
      </c>
      <c r="C29" s="9" t="s">
        <v>242</v>
      </c>
      <c r="D29" s="9" t="s">
        <v>251</v>
      </c>
      <c r="E29" s="9" t="s">
        <v>261</v>
      </c>
      <c r="F29" s="9" t="s">
        <v>695</v>
      </c>
      <c r="G29" s="10">
        <v>0.5</v>
      </c>
      <c r="H29" s="15">
        <v>74</v>
      </c>
      <c r="I29" s="15">
        <v>61</v>
      </c>
      <c r="J29" s="15">
        <v>56</v>
      </c>
      <c r="K29" s="15">
        <v>277.89999999999998</v>
      </c>
    </row>
    <row r="30" spans="1:11" ht="15" customHeight="1" x14ac:dyDescent="0.2">
      <c r="A30" s="9" t="s">
        <v>1579</v>
      </c>
      <c r="B30" s="9" t="s">
        <v>1570</v>
      </c>
      <c r="C30" s="9" t="s">
        <v>243</v>
      </c>
      <c r="D30" s="9" t="s">
        <v>251</v>
      </c>
      <c r="E30" s="9" t="s">
        <v>261</v>
      </c>
      <c r="F30" s="9" t="s">
        <v>695</v>
      </c>
      <c r="G30" s="10">
        <v>0.6</v>
      </c>
      <c r="H30" s="15">
        <v>55</v>
      </c>
      <c r="I30" s="15">
        <v>40</v>
      </c>
      <c r="J30" s="15">
        <v>20</v>
      </c>
      <c r="K30" s="15">
        <v>60.6</v>
      </c>
    </row>
    <row r="31" spans="1:11" ht="15" customHeight="1" x14ac:dyDescent="0.2">
      <c r="A31" s="9" t="s">
        <v>209</v>
      </c>
      <c r="B31" s="9" t="s">
        <v>1571</v>
      </c>
      <c r="C31" s="9" t="s">
        <v>244</v>
      </c>
      <c r="D31" s="9" t="s">
        <v>251</v>
      </c>
      <c r="E31" s="9" t="s">
        <v>261</v>
      </c>
      <c r="F31" s="9" t="s">
        <v>695</v>
      </c>
      <c r="G31" s="10">
        <v>0.35</v>
      </c>
      <c r="H31" s="15">
        <v>60</v>
      </c>
      <c r="I31" s="15">
        <v>50</v>
      </c>
      <c r="J31" s="15">
        <v>44</v>
      </c>
      <c r="K31" s="15">
        <v>124</v>
      </c>
    </row>
    <row r="32" spans="1:11" ht="15" customHeight="1" x14ac:dyDescent="0.2">
      <c r="A32" s="9" t="s">
        <v>740</v>
      </c>
      <c r="B32" s="9" t="s">
        <v>1571</v>
      </c>
      <c r="C32" s="9" t="s">
        <v>244</v>
      </c>
      <c r="D32" s="9" t="s">
        <v>251</v>
      </c>
      <c r="E32" s="9" t="s">
        <v>708</v>
      </c>
      <c r="F32" s="9" t="s">
        <v>695</v>
      </c>
      <c r="G32" s="10">
        <v>0.85</v>
      </c>
      <c r="H32" s="15">
        <v>63</v>
      </c>
      <c r="I32" s="15">
        <v>59</v>
      </c>
      <c r="J32" s="15">
        <v>27</v>
      </c>
      <c r="K32" s="15">
        <v>127.7</v>
      </c>
    </row>
    <row r="33" spans="1:11" ht="15" customHeight="1" x14ac:dyDescent="0.2">
      <c r="A33" s="9" t="s">
        <v>136</v>
      </c>
      <c r="B33" s="9" t="s">
        <v>1572</v>
      </c>
      <c r="C33" s="9" t="s">
        <v>245</v>
      </c>
      <c r="D33" s="9" t="s">
        <v>251</v>
      </c>
      <c r="E33" s="9" t="s">
        <v>263</v>
      </c>
      <c r="F33" s="9" t="s">
        <v>695</v>
      </c>
      <c r="G33" s="10">
        <v>0.5</v>
      </c>
      <c r="H33" s="15">
        <v>70</v>
      </c>
      <c r="I33" s="15">
        <v>56</v>
      </c>
      <c r="J33" s="15">
        <v>48</v>
      </c>
      <c r="K33" s="15">
        <v>181.2</v>
      </c>
    </row>
    <row r="34" spans="1:11" ht="15" customHeight="1" x14ac:dyDescent="0.2">
      <c r="A34" s="9" t="s">
        <v>139</v>
      </c>
      <c r="B34" s="9" t="s">
        <v>1572</v>
      </c>
      <c r="C34" s="9" t="s">
        <v>246</v>
      </c>
      <c r="D34" s="9" t="s">
        <v>707</v>
      </c>
      <c r="E34" s="9" t="s">
        <v>261</v>
      </c>
      <c r="F34" s="9" t="s">
        <v>695</v>
      </c>
      <c r="G34" s="10">
        <v>0.35</v>
      </c>
      <c r="H34" s="15">
        <v>67</v>
      </c>
      <c r="I34" s="15">
        <v>44</v>
      </c>
      <c r="J34" s="15">
        <v>32</v>
      </c>
      <c r="K34" s="15">
        <v>101.8</v>
      </c>
    </row>
    <row r="35" spans="1:11" ht="15" customHeight="1" x14ac:dyDescent="0.2">
      <c r="A35" s="9" t="s">
        <v>148</v>
      </c>
      <c r="B35" s="9" t="s">
        <v>1572</v>
      </c>
      <c r="C35" s="9" t="s">
        <v>246</v>
      </c>
      <c r="D35" s="9" t="s">
        <v>251</v>
      </c>
      <c r="E35" s="9" t="s">
        <v>262</v>
      </c>
      <c r="F35" s="9" t="s">
        <v>695</v>
      </c>
      <c r="G35" s="10">
        <v>0.6</v>
      </c>
      <c r="H35" s="15">
        <v>62</v>
      </c>
      <c r="I35" s="15">
        <v>45</v>
      </c>
      <c r="J35" s="15">
        <v>35</v>
      </c>
      <c r="K35" s="15">
        <v>138.19999999999999</v>
      </c>
    </row>
    <row r="36" spans="1:11" ht="15" customHeight="1" x14ac:dyDescent="0.2">
      <c r="A36" s="9" t="s">
        <v>286</v>
      </c>
      <c r="B36" s="9" t="s">
        <v>1573</v>
      </c>
      <c r="C36" s="9" t="s">
        <v>247</v>
      </c>
      <c r="D36" s="9" t="s">
        <v>251</v>
      </c>
      <c r="E36" s="9" t="s">
        <v>260</v>
      </c>
      <c r="F36" s="9" t="s">
        <v>695</v>
      </c>
      <c r="G36" s="10">
        <v>0.5</v>
      </c>
      <c r="H36" s="15">
        <v>66</v>
      </c>
      <c r="I36" s="15">
        <v>55</v>
      </c>
      <c r="J36" s="15">
        <v>36</v>
      </c>
      <c r="K36" s="15">
        <v>145.5</v>
      </c>
    </row>
    <row r="37" spans="1:11" ht="15" customHeight="1" x14ac:dyDescent="0.2">
      <c r="A37" s="9" t="s">
        <v>162</v>
      </c>
      <c r="B37" s="9" t="s">
        <v>1573</v>
      </c>
      <c r="C37" s="9" t="s">
        <v>247</v>
      </c>
      <c r="D37" s="9" t="s">
        <v>251</v>
      </c>
      <c r="E37" s="9" t="s">
        <v>263</v>
      </c>
      <c r="F37" s="9" t="s">
        <v>695</v>
      </c>
      <c r="G37" s="10">
        <v>0.45</v>
      </c>
      <c r="H37" s="15">
        <v>48</v>
      </c>
      <c r="I37" s="15">
        <v>43</v>
      </c>
      <c r="J37" s="15">
        <v>38</v>
      </c>
      <c r="K37" s="15">
        <v>106.9</v>
      </c>
    </row>
    <row r="38" spans="1:11" ht="15" customHeight="1" x14ac:dyDescent="0.2">
      <c r="A38" s="9" t="s">
        <v>170</v>
      </c>
      <c r="B38" s="9" t="s">
        <v>1573</v>
      </c>
      <c r="C38" s="9" t="s">
        <v>248</v>
      </c>
      <c r="D38" s="9" t="s">
        <v>251</v>
      </c>
      <c r="E38" s="9" t="s">
        <v>261</v>
      </c>
      <c r="F38" s="9" t="s">
        <v>695</v>
      </c>
      <c r="G38" s="10">
        <v>0.65</v>
      </c>
      <c r="H38" s="15">
        <v>64</v>
      </c>
      <c r="I38" s="15">
        <v>48</v>
      </c>
      <c r="J38" s="15">
        <v>34</v>
      </c>
      <c r="K38" s="15">
        <v>134.6</v>
      </c>
    </row>
    <row r="39" spans="1:11" ht="15" customHeight="1" x14ac:dyDescent="0.2">
      <c r="A39" s="9" t="s">
        <v>167</v>
      </c>
      <c r="B39" s="9" t="s">
        <v>1573</v>
      </c>
      <c r="C39" s="9" t="s">
        <v>248</v>
      </c>
      <c r="D39" s="9" t="s">
        <v>251</v>
      </c>
      <c r="E39" s="9" t="s">
        <v>261</v>
      </c>
      <c r="F39" s="9" t="s">
        <v>695</v>
      </c>
      <c r="G39" s="10">
        <v>0.5</v>
      </c>
      <c r="H39" s="15">
        <v>58</v>
      </c>
      <c r="I39" s="15">
        <v>57</v>
      </c>
      <c r="J39" s="15">
        <v>45</v>
      </c>
      <c r="K39" s="15">
        <v>154.4</v>
      </c>
    </row>
    <row r="40" spans="1:11" ht="15" customHeight="1" x14ac:dyDescent="0.2">
      <c r="A40" s="9" t="s">
        <v>153</v>
      </c>
      <c r="B40" s="9" t="s">
        <v>1573</v>
      </c>
      <c r="C40" s="9" t="s">
        <v>247</v>
      </c>
      <c r="D40" s="9" t="s">
        <v>254</v>
      </c>
      <c r="E40" s="9" t="s">
        <v>263</v>
      </c>
      <c r="F40" s="9" t="s">
        <v>695</v>
      </c>
      <c r="G40" s="10">
        <v>0.55000000000000004</v>
      </c>
      <c r="H40" s="15">
        <v>65</v>
      </c>
      <c r="I40" s="15">
        <v>55</v>
      </c>
      <c r="J40" s="15">
        <v>44</v>
      </c>
      <c r="K40" s="15">
        <v>200.3</v>
      </c>
    </row>
    <row r="41" spans="1:11" ht="15" customHeight="1" x14ac:dyDescent="0.2">
      <c r="A41" s="9" t="s">
        <v>750</v>
      </c>
      <c r="B41" s="9" t="s">
        <v>1573</v>
      </c>
      <c r="C41" s="9" t="s">
        <v>247</v>
      </c>
      <c r="D41" s="9" t="s">
        <v>751</v>
      </c>
      <c r="E41" s="9" t="s">
        <v>262</v>
      </c>
      <c r="F41" s="9" t="s">
        <v>695</v>
      </c>
      <c r="G41" s="10">
        <v>0.4</v>
      </c>
      <c r="H41" s="15">
        <v>58</v>
      </c>
      <c r="I41" s="15">
        <v>41</v>
      </c>
      <c r="J41" s="15">
        <v>33</v>
      </c>
      <c r="K41" s="15">
        <v>78.3</v>
      </c>
    </row>
    <row r="42" spans="1:11" ht="15" customHeight="1" x14ac:dyDescent="0.2">
      <c r="A42" s="9" t="s">
        <v>159</v>
      </c>
      <c r="B42" s="9" t="s">
        <v>1573</v>
      </c>
      <c r="C42" s="9" t="s">
        <v>247</v>
      </c>
      <c r="D42" s="9" t="s">
        <v>251</v>
      </c>
      <c r="E42" s="9" t="s">
        <v>261</v>
      </c>
      <c r="F42" s="9" t="s">
        <v>695</v>
      </c>
      <c r="G42" s="10">
        <v>0.45</v>
      </c>
      <c r="H42" s="15">
        <v>59</v>
      </c>
      <c r="I42" s="15">
        <v>50</v>
      </c>
      <c r="J42" s="15">
        <v>35</v>
      </c>
      <c r="K42" s="15">
        <v>107.4</v>
      </c>
    </row>
    <row r="43" spans="1:11" ht="15" customHeight="1" x14ac:dyDescent="0.2">
      <c r="A43" s="9" t="s">
        <v>165</v>
      </c>
      <c r="B43" s="9" t="s">
        <v>1573</v>
      </c>
      <c r="C43" s="9" t="s">
        <v>247</v>
      </c>
      <c r="D43" s="9" t="s">
        <v>251</v>
      </c>
      <c r="E43" s="9" t="s">
        <v>261</v>
      </c>
      <c r="F43" s="9" t="s">
        <v>695</v>
      </c>
      <c r="G43" s="10">
        <v>0.15</v>
      </c>
      <c r="H43" s="15">
        <v>117</v>
      </c>
      <c r="I43" s="15">
        <v>64</v>
      </c>
      <c r="J43" s="15">
        <v>60</v>
      </c>
      <c r="K43" s="15">
        <v>561.4</v>
      </c>
    </row>
    <row r="44" spans="1:11" ht="15" customHeight="1" x14ac:dyDescent="0.2">
      <c r="A44" s="9" t="s">
        <v>1580</v>
      </c>
      <c r="B44" s="9" t="s">
        <v>1573</v>
      </c>
      <c r="C44" s="9" t="s">
        <v>247</v>
      </c>
      <c r="D44" s="9" t="s">
        <v>252</v>
      </c>
      <c r="E44" s="9" t="s">
        <v>260</v>
      </c>
      <c r="F44" s="9" t="s">
        <v>695</v>
      </c>
      <c r="G44" s="10">
        <v>0.4</v>
      </c>
      <c r="H44" s="15">
        <v>75</v>
      </c>
      <c r="I44" s="15">
        <v>49</v>
      </c>
      <c r="J44" s="15">
        <v>37</v>
      </c>
      <c r="K44" s="15">
        <v>231.9</v>
      </c>
    </row>
    <row r="45" spans="1:11" ht="15" customHeight="1" x14ac:dyDescent="0.2">
      <c r="A45" s="9" t="s">
        <v>160</v>
      </c>
      <c r="B45" s="9" t="s">
        <v>1573</v>
      </c>
      <c r="C45" s="9" t="s">
        <v>247</v>
      </c>
      <c r="D45" s="9" t="s">
        <v>257</v>
      </c>
      <c r="E45" s="9" t="s">
        <v>708</v>
      </c>
      <c r="F45" s="9" t="s">
        <v>695</v>
      </c>
      <c r="G45" s="10">
        <v>0.55000000000000004</v>
      </c>
      <c r="H45" s="15">
        <v>58</v>
      </c>
      <c r="I45" s="15">
        <v>55</v>
      </c>
      <c r="J45" s="15">
        <v>39</v>
      </c>
      <c r="K45" s="15">
        <v>157.19999999999999</v>
      </c>
    </row>
    <row r="46" spans="1:11" ht="15" customHeight="1" x14ac:dyDescent="0.2">
      <c r="A46" s="9" t="s">
        <v>288</v>
      </c>
      <c r="B46" s="9" t="s">
        <v>1564</v>
      </c>
      <c r="C46" s="9" t="s">
        <v>236</v>
      </c>
      <c r="D46" s="9" t="s">
        <v>253</v>
      </c>
      <c r="E46" s="9" t="s">
        <v>261</v>
      </c>
      <c r="F46" s="9" t="s">
        <v>287</v>
      </c>
      <c r="G46" s="10">
        <v>0.6</v>
      </c>
      <c r="H46" s="15">
        <v>62</v>
      </c>
      <c r="I46" s="15">
        <v>49</v>
      </c>
      <c r="J46" s="15">
        <v>26</v>
      </c>
      <c r="K46" s="15">
        <v>77.599999999999994</v>
      </c>
    </row>
    <row r="47" spans="1:11" ht="15" customHeight="1" x14ac:dyDescent="0.2">
      <c r="A47" s="9" t="s">
        <v>289</v>
      </c>
      <c r="B47" s="9" t="s">
        <v>1564</v>
      </c>
      <c r="C47" s="9" t="s">
        <v>236</v>
      </c>
      <c r="D47" s="9" t="s">
        <v>253</v>
      </c>
      <c r="E47" s="9" t="s">
        <v>260</v>
      </c>
      <c r="F47" s="9" t="s">
        <v>287</v>
      </c>
      <c r="G47" s="10">
        <v>0.4</v>
      </c>
      <c r="H47" s="15">
        <v>74</v>
      </c>
      <c r="I47" s="15">
        <v>52</v>
      </c>
      <c r="J47" s="15">
        <v>31</v>
      </c>
      <c r="K47" s="15">
        <v>153.4</v>
      </c>
    </row>
    <row r="48" spans="1:11" ht="15" customHeight="1" x14ac:dyDescent="0.2">
      <c r="A48" s="9" t="s">
        <v>290</v>
      </c>
      <c r="B48" s="9" t="s">
        <v>1564</v>
      </c>
      <c r="C48" s="9" t="s">
        <v>236</v>
      </c>
      <c r="D48" s="9" t="s">
        <v>253</v>
      </c>
      <c r="E48" s="9" t="s">
        <v>262</v>
      </c>
      <c r="F48" s="9" t="s">
        <v>287</v>
      </c>
      <c r="G48" s="10">
        <v>0.6</v>
      </c>
      <c r="H48" s="15">
        <v>62</v>
      </c>
      <c r="I48" s="15">
        <v>47</v>
      </c>
      <c r="J48" s="15">
        <v>42</v>
      </c>
      <c r="K48" s="15">
        <v>117.4</v>
      </c>
    </row>
    <row r="49" spans="1:11" ht="15" customHeight="1" x14ac:dyDescent="0.2">
      <c r="A49" s="9" t="s">
        <v>291</v>
      </c>
      <c r="B49" s="9" t="s">
        <v>1564</v>
      </c>
      <c r="C49" s="9" t="s">
        <v>236</v>
      </c>
      <c r="D49" s="9" t="s">
        <v>252</v>
      </c>
      <c r="E49" s="9" t="s">
        <v>261</v>
      </c>
      <c r="F49" s="9" t="s">
        <v>287</v>
      </c>
      <c r="G49" s="10">
        <v>0.4</v>
      </c>
      <c r="H49" s="15">
        <v>54</v>
      </c>
      <c r="I49" s="15">
        <v>35</v>
      </c>
      <c r="J49" s="15">
        <v>19</v>
      </c>
      <c r="K49" s="15">
        <v>45.1</v>
      </c>
    </row>
    <row r="50" spans="1:11" ht="15" customHeight="1" x14ac:dyDescent="0.2">
      <c r="A50" s="9" t="s">
        <v>292</v>
      </c>
      <c r="B50" s="9" t="s">
        <v>1564</v>
      </c>
      <c r="C50" s="9" t="s">
        <v>236</v>
      </c>
      <c r="D50" s="9" t="s">
        <v>253</v>
      </c>
      <c r="E50" s="9" t="s">
        <v>261</v>
      </c>
      <c r="F50" s="9" t="s">
        <v>287</v>
      </c>
      <c r="G50" s="10">
        <v>0.4</v>
      </c>
      <c r="H50" s="15">
        <v>72</v>
      </c>
      <c r="I50" s="15">
        <v>45</v>
      </c>
      <c r="J50" s="15">
        <v>31</v>
      </c>
      <c r="K50" s="15">
        <v>102.4</v>
      </c>
    </row>
    <row r="51" spans="1:11" ht="15" customHeight="1" x14ac:dyDescent="0.2">
      <c r="A51" s="9" t="s">
        <v>293</v>
      </c>
      <c r="B51" s="9" t="s">
        <v>1564</v>
      </c>
      <c r="C51" s="9" t="s">
        <v>236</v>
      </c>
      <c r="D51" s="9" t="s">
        <v>253</v>
      </c>
      <c r="E51" s="9" t="s">
        <v>260</v>
      </c>
      <c r="F51" s="9" t="s">
        <v>287</v>
      </c>
      <c r="G51" s="10">
        <v>0.25</v>
      </c>
      <c r="H51" s="15">
        <v>51</v>
      </c>
      <c r="I51" s="15">
        <v>45</v>
      </c>
      <c r="J51" s="15">
        <v>13</v>
      </c>
      <c r="K51" s="15">
        <v>25.3</v>
      </c>
    </row>
    <row r="52" spans="1:11" ht="15" customHeight="1" x14ac:dyDescent="0.2">
      <c r="A52" s="9" t="s">
        <v>294</v>
      </c>
      <c r="B52" s="9" t="s">
        <v>1564</v>
      </c>
      <c r="C52" s="9" t="s">
        <v>236</v>
      </c>
      <c r="D52" s="9" t="s">
        <v>251</v>
      </c>
      <c r="E52" s="9" t="s">
        <v>260</v>
      </c>
      <c r="F52" s="9" t="s">
        <v>287</v>
      </c>
      <c r="G52" s="10">
        <v>0.6</v>
      </c>
      <c r="H52" s="15">
        <v>68</v>
      </c>
      <c r="I52" s="15">
        <v>51</v>
      </c>
      <c r="J52" s="15">
        <v>30</v>
      </c>
      <c r="K52" s="15">
        <v>104.5</v>
      </c>
    </row>
    <row r="53" spans="1:11" ht="15" customHeight="1" x14ac:dyDescent="0.2">
      <c r="A53" s="9" t="s">
        <v>295</v>
      </c>
      <c r="B53" s="9" t="s">
        <v>1564</v>
      </c>
      <c r="C53" s="9" t="s">
        <v>236</v>
      </c>
      <c r="D53" s="9" t="s">
        <v>253</v>
      </c>
      <c r="E53" s="9" t="s">
        <v>263</v>
      </c>
      <c r="F53" s="9" t="s">
        <v>287</v>
      </c>
      <c r="G53" s="10">
        <v>0.6</v>
      </c>
      <c r="H53" s="15">
        <v>62</v>
      </c>
      <c r="I53" s="15">
        <v>43</v>
      </c>
      <c r="J53" s="15">
        <v>34</v>
      </c>
      <c r="K53" s="15">
        <v>70.900000000000006</v>
      </c>
    </row>
    <row r="54" spans="1:11" ht="15" customHeight="1" x14ac:dyDescent="0.2">
      <c r="A54" s="9" t="s">
        <v>296</v>
      </c>
      <c r="B54" s="9" t="s">
        <v>1564</v>
      </c>
      <c r="C54" s="9" t="s">
        <v>236</v>
      </c>
      <c r="D54" s="9" t="s">
        <v>253</v>
      </c>
      <c r="E54" s="9" t="s">
        <v>261</v>
      </c>
      <c r="F54" s="9" t="s">
        <v>287</v>
      </c>
      <c r="G54" s="10">
        <v>0.45</v>
      </c>
      <c r="H54" s="15">
        <v>81</v>
      </c>
      <c r="I54" s="15">
        <v>45</v>
      </c>
      <c r="J54" s="15">
        <v>42</v>
      </c>
      <c r="K54" s="15">
        <v>191</v>
      </c>
    </row>
    <row r="55" spans="1:11" ht="15" customHeight="1" x14ac:dyDescent="0.2">
      <c r="A55" s="9" t="s">
        <v>297</v>
      </c>
      <c r="B55" s="9" t="s">
        <v>1564</v>
      </c>
      <c r="C55" s="9" t="s">
        <v>236</v>
      </c>
      <c r="D55" s="9" t="s">
        <v>251</v>
      </c>
      <c r="E55" s="9" t="s">
        <v>261</v>
      </c>
      <c r="F55" s="9" t="s">
        <v>287</v>
      </c>
      <c r="G55" s="10">
        <v>0.3</v>
      </c>
      <c r="H55" s="15">
        <v>52</v>
      </c>
      <c r="I55" s="15">
        <v>30</v>
      </c>
      <c r="J55" s="15">
        <v>16</v>
      </c>
      <c r="K55" s="15">
        <v>25.9</v>
      </c>
    </row>
    <row r="56" spans="1:11" ht="15" customHeight="1" x14ac:dyDescent="0.2">
      <c r="A56" s="9" t="s">
        <v>298</v>
      </c>
      <c r="B56" s="9" t="s">
        <v>1564</v>
      </c>
      <c r="C56" s="9" t="s">
        <v>236</v>
      </c>
      <c r="D56" s="9" t="s">
        <v>253</v>
      </c>
      <c r="E56" s="9" t="s">
        <v>261</v>
      </c>
      <c r="F56" s="9" t="s">
        <v>287</v>
      </c>
      <c r="G56" s="10">
        <v>0.4</v>
      </c>
      <c r="H56" s="15">
        <v>37</v>
      </c>
      <c r="I56" s="15">
        <v>36</v>
      </c>
      <c r="J56" s="15">
        <v>13</v>
      </c>
      <c r="K56" s="15">
        <v>21.2</v>
      </c>
    </row>
    <row r="57" spans="1:11" ht="15" customHeight="1" x14ac:dyDescent="0.2">
      <c r="A57" s="9" t="s">
        <v>299</v>
      </c>
      <c r="B57" s="9" t="s">
        <v>1564</v>
      </c>
      <c r="C57" s="9" t="s">
        <v>236</v>
      </c>
      <c r="D57" s="9" t="s">
        <v>251</v>
      </c>
      <c r="E57" s="9" t="s">
        <v>261</v>
      </c>
      <c r="F57" s="9" t="s">
        <v>287</v>
      </c>
      <c r="G57" s="10">
        <v>0.55000000000000004</v>
      </c>
      <c r="H57" s="15">
        <v>53</v>
      </c>
      <c r="I57" s="15">
        <v>36</v>
      </c>
      <c r="J57" s="15">
        <v>36</v>
      </c>
      <c r="K57" s="15">
        <v>85.7</v>
      </c>
    </row>
    <row r="58" spans="1:11" ht="15" customHeight="1" x14ac:dyDescent="0.2">
      <c r="A58" s="9" t="s">
        <v>300</v>
      </c>
      <c r="B58" s="9" t="s">
        <v>1564</v>
      </c>
      <c r="C58" s="9" t="s">
        <v>236</v>
      </c>
      <c r="D58" s="9" t="s">
        <v>251</v>
      </c>
      <c r="E58" s="9" t="s">
        <v>261</v>
      </c>
      <c r="F58" s="9" t="s">
        <v>287</v>
      </c>
      <c r="G58" s="10">
        <v>0.6</v>
      </c>
      <c r="H58" s="15">
        <v>84</v>
      </c>
      <c r="I58" s="15">
        <v>82</v>
      </c>
      <c r="J58" s="15">
        <v>52</v>
      </c>
      <c r="K58" s="15">
        <v>343.4</v>
      </c>
    </row>
    <row r="59" spans="1:11" ht="15" customHeight="1" x14ac:dyDescent="0.2">
      <c r="A59" s="9" t="s">
        <v>301</v>
      </c>
      <c r="B59" s="9" t="s">
        <v>1564</v>
      </c>
      <c r="C59" s="9" t="s">
        <v>236</v>
      </c>
      <c r="D59" s="9" t="s">
        <v>251</v>
      </c>
      <c r="E59" s="9" t="s">
        <v>260</v>
      </c>
      <c r="F59" s="9" t="s">
        <v>287</v>
      </c>
      <c r="G59" s="10">
        <v>0.4</v>
      </c>
      <c r="H59" s="15">
        <v>73</v>
      </c>
      <c r="I59" s="15">
        <v>64</v>
      </c>
      <c r="J59" s="15">
        <v>37</v>
      </c>
      <c r="K59" s="15">
        <v>187.7</v>
      </c>
    </row>
    <row r="60" spans="1:11" ht="15" customHeight="1" x14ac:dyDescent="0.2">
      <c r="A60" s="9" t="s">
        <v>302</v>
      </c>
      <c r="B60" s="9" t="s">
        <v>1564</v>
      </c>
      <c r="C60" s="9" t="s">
        <v>236</v>
      </c>
      <c r="D60" s="9" t="s">
        <v>251</v>
      </c>
      <c r="E60" s="9" t="s">
        <v>262</v>
      </c>
      <c r="F60" s="9" t="s">
        <v>287</v>
      </c>
      <c r="G60" s="10">
        <v>0.55000000000000004</v>
      </c>
      <c r="H60" s="15">
        <v>83</v>
      </c>
      <c r="I60" s="15">
        <v>52</v>
      </c>
      <c r="J60" s="15">
        <v>22</v>
      </c>
      <c r="K60" s="15">
        <v>117.4</v>
      </c>
    </row>
    <row r="61" spans="1:11" ht="15" customHeight="1" x14ac:dyDescent="0.2">
      <c r="A61" s="9" t="s">
        <v>303</v>
      </c>
      <c r="B61" s="9" t="s">
        <v>1564</v>
      </c>
      <c r="C61" s="9" t="s">
        <v>236</v>
      </c>
      <c r="D61" s="9" t="s">
        <v>251</v>
      </c>
      <c r="E61" s="9" t="s">
        <v>261</v>
      </c>
      <c r="F61" s="9" t="s">
        <v>287</v>
      </c>
      <c r="G61" s="10">
        <v>0.3</v>
      </c>
      <c r="H61" s="15">
        <v>54</v>
      </c>
      <c r="I61" s="15">
        <v>42</v>
      </c>
      <c r="J61" s="15">
        <v>23</v>
      </c>
      <c r="K61" s="15">
        <v>72.5</v>
      </c>
    </row>
    <row r="62" spans="1:11" ht="15" customHeight="1" x14ac:dyDescent="0.2">
      <c r="A62" s="9" t="s">
        <v>317</v>
      </c>
      <c r="B62" s="9" t="s">
        <v>1564</v>
      </c>
      <c r="C62" s="9" t="s">
        <v>236</v>
      </c>
      <c r="D62" s="9" t="s">
        <v>251</v>
      </c>
      <c r="E62" s="9" t="s">
        <v>262</v>
      </c>
      <c r="F62" s="9" t="s">
        <v>287</v>
      </c>
      <c r="G62" s="10">
        <v>0.4</v>
      </c>
      <c r="H62" s="15">
        <v>65</v>
      </c>
      <c r="I62" s="15">
        <v>41</v>
      </c>
      <c r="J62" s="15">
        <v>20</v>
      </c>
      <c r="K62" s="15">
        <v>74.400000000000006</v>
      </c>
    </row>
    <row r="63" spans="1:11" ht="15" customHeight="1" x14ac:dyDescent="0.2">
      <c r="A63" s="9" t="s">
        <v>319</v>
      </c>
      <c r="B63" s="9" t="s">
        <v>1564</v>
      </c>
      <c r="C63" s="9" t="s">
        <v>236</v>
      </c>
      <c r="D63" s="9" t="s">
        <v>251</v>
      </c>
      <c r="E63" s="9" t="s">
        <v>262</v>
      </c>
      <c r="F63" s="9" t="s">
        <v>287</v>
      </c>
      <c r="G63" s="10">
        <v>0.45</v>
      </c>
      <c r="H63" s="15">
        <v>50</v>
      </c>
      <c r="I63" s="15">
        <v>39</v>
      </c>
      <c r="J63" s="15">
        <v>20</v>
      </c>
      <c r="K63" s="15">
        <v>34.700000000000003</v>
      </c>
    </row>
    <row r="64" spans="1:11" ht="15" customHeight="1" x14ac:dyDescent="0.2">
      <c r="A64" s="9" t="s">
        <v>321</v>
      </c>
      <c r="B64" s="9" t="s">
        <v>1564</v>
      </c>
      <c r="C64" s="9" t="s">
        <v>236</v>
      </c>
      <c r="D64" s="9" t="s">
        <v>251</v>
      </c>
      <c r="E64" s="9" t="s">
        <v>262</v>
      </c>
      <c r="F64" s="9" t="s">
        <v>287</v>
      </c>
      <c r="G64" s="10">
        <v>0.4</v>
      </c>
      <c r="H64" s="15">
        <v>70</v>
      </c>
      <c r="I64" s="15">
        <v>55</v>
      </c>
      <c r="J64" s="15">
        <v>22</v>
      </c>
      <c r="K64" s="15">
        <v>104.2</v>
      </c>
    </row>
    <row r="65" spans="1:11" ht="15" customHeight="1" x14ac:dyDescent="0.2">
      <c r="A65" s="9" t="s">
        <v>328</v>
      </c>
      <c r="B65" s="9" t="s">
        <v>1564</v>
      </c>
      <c r="C65" s="9" t="s">
        <v>236</v>
      </c>
      <c r="D65" s="9" t="s">
        <v>251</v>
      </c>
      <c r="E65" s="9" t="s">
        <v>261</v>
      </c>
      <c r="F65" s="9" t="s">
        <v>287</v>
      </c>
      <c r="G65" s="10">
        <v>0.6</v>
      </c>
      <c r="H65" s="15">
        <v>61</v>
      </c>
      <c r="I65" s="15">
        <v>48</v>
      </c>
      <c r="J65" s="15">
        <v>32</v>
      </c>
      <c r="K65" s="15">
        <v>98.2</v>
      </c>
    </row>
    <row r="66" spans="1:11" ht="15" customHeight="1" x14ac:dyDescent="0.2">
      <c r="A66" s="9" t="s">
        <v>331</v>
      </c>
      <c r="B66" s="9" t="s">
        <v>1564</v>
      </c>
      <c r="C66" s="9" t="s">
        <v>236</v>
      </c>
      <c r="D66" s="9" t="s">
        <v>251</v>
      </c>
      <c r="E66" s="9" t="s">
        <v>261</v>
      </c>
      <c r="F66" s="9" t="s">
        <v>287</v>
      </c>
      <c r="G66" s="10">
        <v>0.05</v>
      </c>
      <c r="H66" s="15">
        <v>41</v>
      </c>
      <c r="I66" s="15">
        <v>34</v>
      </c>
      <c r="J66" s="15">
        <v>17</v>
      </c>
      <c r="K66" s="15">
        <v>26.7</v>
      </c>
    </row>
    <row r="67" spans="1:11" ht="15" customHeight="1" x14ac:dyDescent="0.2">
      <c r="A67" s="9" t="s">
        <v>334</v>
      </c>
      <c r="B67" s="9" t="s">
        <v>1564</v>
      </c>
      <c r="C67" s="9" t="s">
        <v>236</v>
      </c>
      <c r="D67" s="9" t="s">
        <v>251</v>
      </c>
      <c r="E67" s="9" t="s">
        <v>260</v>
      </c>
      <c r="F67" s="9" t="s">
        <v>287</v>
      </c>
      <c r="G67" s="10">
        <v>0.3</v>
      </c>
      <c r="H67" s="15">
        <v>68</v>
      </c>
      <c r="I67" s="15">
        <v>55</v>
      </c>
      <c r="J67" s="15">
        <v>26</v>
      </c>
      <c r="K67" s="15">
        <v>34</v>
      </c>
    </row>
    <row r="68" spans="1:11" ht="15" customHeight="1" x14ac:dyDescent="0.2">
      <c r="A68" s="9" t="s">
        <v>445</v>
      </c>
      <c r="B68" s="9" t="s">
        <v>1564</v>
      </c>
      <c r="C68" s="9" t="s">
        <v>236</v>
      </c>
      <c r="D68" s="9" t="s">
        <v>253</v>
      </c>
      <c r="E68" s="9" t="s">
        <v>260</v>
      </c>
      <c r="F68" s="9" t="s">
        <v>287</v>
      </c>
      <c r="G68" s="10">
        <v>0.55000000000000004</v>
      </c>
      <c r="H68" s="15">
        <v>52</v>
      </c>
      <c r="I68" s="15">
        <v>34</v>
      </c>
      <c r="J68" s="15">
        <v>22</v>
      </c>
      <c r="K68" s="15">
        <v>51.9</v>
      </c>
    </row>
    <row r="69" spans="1:11" ht="15" customHeight="1" x14ac:dyDescent="0.2">
      <c r="A69" s="9" t="s">
        <v>464</v>
      </c>
      <c r="B69" s="9" t="s">
        <v>1564</v>
      </c>
      <c r="C69" s="9" t="s">
        <v>236</v>
      </c>
      <c r="D69" s="9" t="s">
        <v>251</v>
      </c>
      <c r="E69" s="9" t="s">
        <v>262</v>
      </c>
      <c r="F69" s="9" t="s">
        <v>287</v>
      </c>
      <c r="G69" s="10">
        <v>0.6</v>
      </c>
      <c r="H69" s="15">
        <v>88</v>
      </c>
      <c r="I69" s="15">
        <v>50</v>
      </c>
      <c r="J69" s="15">
        <v>40</v>
      </c>
      <c r="K69" s="15">
        <v>250</v>
      </c>
    </row>
    <row r="70" spans="1:11" ht="15" customHeight="1" x14ac:dyDescent="0.2">
      <c r="A70" s="9" t="s">
        <v>479</v>
      </c>
      <c r="B70" s="9" t="s">
        <v>1564</v>
      </c>
      <c r="C70" s="9" t="s">
        <v>236</v>
      </c>
      <c r="D70" s="9" t="s">
        <v>251</v>
      </c>
      <c r="E70" s="9" t="s">
        <v>261</v>
      </c>
      <c r="F70" s="9" t="s">
        <v>287</v>
      </c>
      <c r="G70" s="10">
        <v>0.25</v>
      </c>
      <c r="H70" s="15">
        <v>79</v>
      </c>
      <c r="I70" s="15">
        <v>59</v>
      </c>
      <c r="J70" s="15">
        <v>43</v>
      </c>
      <c r="K70" s="15">
        <v>218.8</v>
      </c>
    </row>
    <row r="71" spans="1:11" ht="15" customHeight="1" x14ac:dyDescent="0.2">
      <c r="A71" s="9" t="s">
        <v>510</v>
      </c>
      <c r="B71" s="9" t="s">
        <v>1564</v>
      </c>
      <c r="C71" s="9" t="s">
        <v>236</v>
      </c>
      <c r="D71" s="9" t="s">
        <v>251</v>
      </c>
      <c r="E71" s="9" t="s">
        <v>261</v>
      </c>
      <c r="F71" s="9" t="s">
        <v>287</v>
      </c>
      <c r="G71" s="10">
        <v>0.2</v>
      </c>
      <c r="H71" s="15">
        <v>59</v>
      </c>
      <c r="I71" s="15">
        <v>27</v>
      </c>
      <c r="J71" s="15">
        <v>13</v>
      </c>
      <c r="K71" s="15">
        <v>33.4</v>
      </c>
    </row>
    <row r="72" spans="1:11" ht="15" customHeight="1" x14ac:dyDescent="0.2">
      <c r="A72" s="9" t="s">
        <v>525</v>
      </c>
      <c r="B72" s="9" t="s">
        <v>1564</v>
      </c>
      <c r="C72" s="9" t="s">
        <v>236</v>
      </c>
      <c r="D72" s="9" t="s">
        <v>251</v>
      </c>
      <c r="E72" s="9" t="s">
        <v>263</v>
      </c>
      <c r="F72" s="9" t="s">
        <v>287</v>
      </c>
      <c r="G72" s="10">
        <v>0.3</v>
      </c>
      <c r="H72" s="15">
        <v>63</v>
      </c>
      <c r="I72" s="15">
        <v>60</v>
      </c>
      <c r="J72" s="15">
        <v>21</v>
      </c>
      <c r="K72" s="15">
        <v>111.4</v>
      </c>
    </row>
    <row r="73" spans="1:11" ht="15" customHeight="1" x14ac:dyDescent="0.2">
      <c r="A73" s="9" t="s">
        <v>534</v>
      </c>
      <c r="B73" s="9" t="s">
        <v>1564</v>
      </c>
      <c r="C73" s="9" t="s">
        <v>236</v>
      </c>
      <c r="D73" s="9" t="s">
        <v>251</v>
      </c>
      <c r="E73" s="9" t="s">
        <v>263</v>
      </c>
      <c r="F73" s="9" t="s">
        <v>287</v>
      </c>
      <c r="G73" s="10">
        <v>0.4</v>
      </c>
      <c r="H73" s="15">
        <v>54</v>
      </c>
      <c r="I73" s="15">
        <v>35</v>
      </c>
      <c r="J73" s="15">
        <v>24</v>
      </c>
      <c r="K73" s="15">
        <v>58.9</v>
      </c>
    </row>
    <row r="74" spans="1:11" ht="15" customHeight="1" x14ac:dyDescent="0.2">
      <c r="A74" s="9" t="s">
        <v>558</v>
      </c>
      <c r="B74" s="9" t="s">
        <v>1564</v>
      </c>
      <c r="C74" s="9" t="s">
        <v>236</v>
      </c>
      <c r="D74" s="9" t="s">
        <v>251</v>
      </c>
      <c r="E74" s="9" t="s">
        <v>262</v>
      </c>
      <c r="F74" s="9" t="s">
        <v>287</v>
      </c>
      <c r="G74" s="10">
        <v>0.45</v>
      </c>
      <c r="H74" s="15">
        <v>45</v>
      </c>
      <c r="I74" s="15">
        <v>42</v>
      </c>
      <c r="J74" s="15">
        <v>22</v>
      </c>
      <c r="K74" s="15">
        <v>62.4</v>
      </c>
    </row>
    <row r="75" spans="1:11" ht="15" customHeight="1" x14ac:dyDescent="0.2">
      <c r="A75" s="9" t="s">
        <v>577</v>
      </c>
      <c r="B75" s="9" t="s">
        <v>1564</v>
      </c>
      <c r="C75" s="9" t="s">
        <v>236</v>
      </c>
      <c r="D75" s="9" t="s">
        <v>251</v>
      </c>
      <c r="E75" s="9" t="s">
        <v>261</v>
      </c>
      <c r="F75" s="9" t="s">
        <v>287</v>
      </c>
      <c r="G75" s="10">
        <v>0.6</v>
      </c>
      <c r="H75" s="15">
        <v>73</v>
      </c>
      <c r="I75" s="15">
        <v>62</v>
      </c>
      <c r="J75" s="15">
        <v>35</v>
      </c>
      <c r="K75" s="15">
        <v>203.3</v>
      </c>
    </row>
    <row r="76" spans="1:11" ht="15" customHeight="1" x14ac:dyDescent="0.2">
      <c r="A76" s="9" t="s">
        <v>588</v>
      </c>
      <c r="B76" s="9" t="s">
        <v>1564</v>
      </c>
      <c r="C76" s="9" t="s">
        <v>236</v>
      </c>
      <c r="D76" s="9" t="s">
        <v>251</v>
      </c>
      <c r="E76" s="9" t="s">
        <v>262</v>
      </c>
      <c r="F76" s="9" t="s">
        <v>287</v>
      </c>
      <c r="G76" s="10">
        <v>0.3</v>
      </c>
      <c r="H76" s="15">
        <v>62</v>
      </c>
      <c r="I76" s="15">
        <v>40</v>
      </c>
      <c r="J76" s="15">
        <v>15</v>
      </c>
      <c r="K76" s="15">
        <v>49.8</v>
      </c>
    </row>
    <row r="77" spans="1:11" ht="15" customHeight="1" x14ac:dyDescent="0.2">
      <c r="A77" s="9" t="s">
        <v>589</v>
      </c>
      <c r="B77" s="9" t="s">
        <v>1564</v>
      </c>
      <c r="C77" s="9" t="s">
        <v>236</v>
      </c>
      <c r="D77" s="9" t="s">
        <v>258</v>
      </c>
      <c r="E77" s="9" t="s">
        <v>263</v>
      </c>
      <c r="F77" s="9" t="s">
        <v>287</v>
      </c>
      <c r="G77" s="10">
        <v>0.4</v>
      </c>
      <c r="H77" s="15">
        <v>69</v>
      </c>
      <c r="I77" s="15">
        <v>59</v>
      </c>
      <c r="J77" s="15">
        <v>56</v>
      </c>
      <c r="K77" s="15">
        <v>176.7</v>
      </c>
    </row>
    <row r="78" spans="1:11" ht="15" customHeight="1" x14ac:dyDescent="0.2">
      <c r="A78" s="9" t="s">
        <v>590</v>
      </c>
      <c r="B78" s="9" t="s">
        <v>1564</v>
      </c>
      <c r="C78" s="9" t="s">
        <v>236</v>
      </c>
      <c r="D78" s="9" t="s">
        <v>251</v>
      </c>
      <c r="E78" s="9" t="s">
        <v>261</v>
      </c>
      <c r="F78" s="9" t="s">
        <v>287</v>
      </c>
      <c r="G78" s="10">
        <v>0.3</v>
      </c>
      <c r="H78" s="15">
        <v>37</v>
      </c>
      <c r="I78" s="15">
        <v>37</v>
      </c>
      <c r="J78" s="15">
        <v>22</v>
      </c>
      <c r="K78" s="15">
        <v>28.2</v>
      </c>
    </row>
    <row r="79" spans="1:11" ht="15" customHeight="1" x14ac:dyDescent="0.2">
      <c r="A79" s="9" t="s">
        <v>1577</v>
      </c>
      <c r="B79" s="9" t="s">
        <v>1564</v>
      </c>
      <c r="C79" s="9" t="s">
        <v>236</v>
      </c>
      <c r="D79" s="9" t="s">
        <v>251</v>
      </c>
      <c r="E79" s="9" t="s">
        <v>261</v>
      </c>
      <c r="F79" s="9" t="s">
        <v>287</v>
      </c>
      <c r="G79" s="10">
        <v>0.7</v>
      </c>
      <c r="H79" s="15">
        <v>69</v>
      </c>
      <c r="I79" s="15">
        <v>60</v>
      </c>
      <c r="J79" s="15">
        <v>32</v>
      </c>
      <c r="K79" s="15">
        <v>160.80000000000001</v>
      </c>
    </row>
    <row r="80" spans="1:11" ht="15" customHeight="1" x14ac:dyDescent="0.2">
      <c r="A80" s="9" t="s">
        <v>641</v>
      </c>
      <c r="B80" s="9" t="s">
        <v>1564</v>
      </c>
      <c r="C80" s="9" t="s">
        <v>236</v>
      </c>
      <c r="D80" s="9" t="s">
        <v>251</v>
      </c>
      <c r="E80" s="9" t="s">
        <v>261</v>
      </c>
      <c r="F80" s="9" t="s">
        <v>287</v>
      </c>
      <c r="G80" s="10">
        <v>0.45</v>
      </c>
      <c r="H80" s="15">
        <v>55</v>
      </c>
      <c r="I80" s="15">
        <v>54</v>
      </c>
      <c r="J80" s="15">
        <v>9</v>
      </c>
      <c r="K80" s="15">
        <v>34.200000000000003</v>
      </c>
    </row>
    <row r="81" spans="1:11" ht="15" customHeight="1" x14ac:dyDescent="0.2">
      <c r="A81" s="9" t="s">
        <v>642</v>
      </c>
      <c r="B81" s="9" t="s">
        <v>1564</v>
      </c>
      <c r="C81" s="9" t="s">
        <v>236</v>
      </c>
      <c r="D81" s="9" t="s">
        <v>251</v>
      </c>
      <c r="E81" s="9" t="s">
        <v>260</v>
      </c>
      <c r="F81" s="9" t="s">
        <v>287</v>
      </c>
      <c r="G81" s="10">
        <v>0.25</v>
      </c>
      <c r="H81" s="15">
        <v>61</v>
      </c>
      <c r="I81" s="15">
        <v>34</v>
      </c>
      <c r="J81" s="15">
        <v>21</v>
      </c>
      <c r="K81" s="15">
        <v>50.4</v>
      </c>
    </row>
    <row r="82" spans="1:11" ht="15" customHeight="1" x14ac:dyDescent="0.2">
      <c r="A82" s="9" t="s">
        <v>643</v>
      </c>
      <c r="B82" s="9" t="s">
        <v>1564</v>
      </c>
      <c r="C82" s="9" t="s">
        <v>236</v>
      </c>
      <c r="D82" s="9" t="s">
        <v>251</v>
      </c>
      <c r="E82" s="9" t="s">
        <v>261</v>
      </c>
      <c r="F82" s="9" t="s">
        <v>287</v>
      </c>
      <c r="G82" s="10">
        <v>0.25</v>
      </c>
      <c r="H82" s="15">
        <v>38</v>
      </c>
      <c r="I82" s="15">
        <v>27</v>
      </c>
      <c r="J82" s="15">
        <v>17</v>
      </c>
      <c r="K82" s="15">
        <v>13</v>
      </c>
    </row>
    <row r="83" spans="1:11" ht="15" customHeight="1" x14ac:dyDescent="0.2">
      <c r="A83" s="9" t="s">
        <v>644</v>
      </c>
      <c r="B83" s="9" t="s">
        <v>1564</v>
      </c>
      <c r="C83" s="9" t="s">
        <v>236</v>
      </c>
      <c r="D83" s="9" t="s">
        <v>251</v>
      </c>
      <c r="E83" s="9" t="s">
        <v>261</v>
      </c>
      <c r="F83" s="9" t="s">
        <v>287</v>
      </c>
      <c r="G83" s="10">
        <v>0.45</v>
      </c>
      <c r="H83" s="15">
        <v>49</v>
      </c>
      <c r="I83" s="15">
        <v>36</v>
      </c>
      <c r="J83" s="15">
        <v>14</v>
      </c>
      <c r="K83" s="15">
        <v>28.6</v>
      </c>
    </row>
    <row r="84" spans="1:11" ht="15" customHeight="1" x14ac:dyDescent="0.2">
      <c r="A84" s="9" t="s">
        <v>645</v>
      </c>
      <c r="B84" s="9" t="s">
        <v>1564</v>
      </c>
      <c r="C84" s="9" t="s">
        <v>236</v>
      </c>
      <c r="D84" s="9" t="s">
        <v>251</v>
      </c>
      <c r="E84" s="9" t="s">
        <v>261</v>
      </c>
      <c r="F84" s="9" t="s">
        <v>287</v>
      </c>
      <c r="G84" s="10">
        <v>0.15</v>
      </c>
      <c r="H84" s="15">
        <v>48</v>
      </c>
      <c r="I84" s="15">
        <v>30</v>
      </c>
      <c r="J84" s="15">
        <v>15</v>
      </c>
      <c r="K84" s="15">
        <v>21.4</v>
      </c>
    </row>
    <row r="85" spans="1:11" ht="15" customHeight="1" x14ac:dyDescent="0.2">
      <c r="A85" s="9" t="s">
        <v>646</v>
      </c>
      <c r="B85" s="9" t="s">
        <v>1564</v>
      </c>
      <c r="C85" s="9" t="s">
        <v>236</v>
      </c>
      <c r="D85" s="9" t="s">
        <v>251</v>
      </c>
      <c r="E85" s="9" t="s">
        <v>263</v>
      </c>
      <c r="F85" s="9" t="s">
        <v>287</v>
      </c>
      <c r="G85" s="10">
        <v>0.45</v>
      </c>
      <c r="H85" s="15">
        <v>56</v>
      </c>
      <c r="I85" s="15">
        <v>30</v>
      </c>
      <c r="J85" s="15">
        <v>26</v>
      </c>
      <c r="K85" s="15">
        <v>41.1</v>
      </c>
    </row>
    <row r="86" spans="1:11" ht="15" customHeight="1" x14ac:dyDescent="0.2">
      <c r="A86" s="9" t="s">
        <v>647</v>
      </c>
      <c r="B86" s="9" t="s">
        <v>1564</v>
      </c>
      <c r="C86" s="9" t="s">
        <v>236</v>
      </c>
      <c r="D86" s="9" t="s">
        <v>251</v>
      </c>
      <c r="E86" s="9" t="s">
        <v>262</v>
      </c>
      <c r="F86" s="9" t="s">
        <v>287</v>
      </c>
      <c r="G86" s="10">
        <v>0.4</v>
      </c>
      <c r="H86" s="15">
        <v>56</v>
      </c>
      <c r="I86" s="15">
        <v>35</v>
      </c>
      <c r="J86" s="15">
        <v>15</v>
      </c>
      <c r="K86" s="15">
        <v>30.1</v>
      </c>
    </row>
    <row r="87" spans="1:11" ht="15" customHeight="1" x14ac:dyDescent="0.2">
      <c r="A87" s="9" t="s">
        <v>648</v>
      </c>
      <c r="B87" s="9" t="s">
        <v>1564</v>
      </c>
      <c r="C87" s="9" t="s">
        <v>236</v>
      </c>
      <c r="D87" s="9" t="s">
        <v>251</v>
      </c>
      <c r="E87" s="9" t="s">
        <v>262</v>
      </c>
      <c r="F87" s="9" t="s">
        <v>287</v>
      </c>
      <c r="G87" s="10">
        <v>0.55000000000000004</v>
      </c>
      <c r="H87" s="15">
        <v>47</v>
      </c>
      <c r="I87" s="15">
        <v>35</v>
      </c>
      <c r="J87" s="15">
        <v>25</v>
      </c>
      <c r="K87" s="15">
        <v>45.2</v>
      </c>
    </row>
    <row r="88" spans="1:11" ht="15" customHeight="1" x14ac:dyDescent="0.2">
      <c r="A88" s="9" t="s">
        <v>649</v>
      </c>
      <c r="B88" s="9" t="s">
        <v>1564</v>
      </c>
      <c r="C88" s="9" t="s">
        <v>236</v>
      </c>
      <c r="D88" s="9" t="s">
        <v>251</v>
      </c>
      <c r="E88" s="9" t="s">
        <v>261</v>
      </c>
      <c r="F88" s="9" t="s">
        <v>287</v>
      </c>
      <c r="G88" s="10">
        <v>0.6</v>
      </c>
      <c r="H88" s="15">
        <v>82</v>
      </c>
      <c r="I88" s="15">
        <v>52</v>
      </c>
      <c r="J88" s="15">
        <v>28</v>
      </c>
      <c r="K88" s="15">
        <v>86</v>
      </c>
    </row>
    <row r="89" spans="1:11" ht="15" customHeight="1" x14ac:dyDescent="0.2">
      <c r="A89" s="9" t="s">
        <v>650</v>
      </c>
      <c r="B89" s="9" t="s">
        <v>1564</v>
      </c>
      <c r="C89" s="9" t="s">
        <v>236</v>
      </c>
      <c r="D89" s="9" t="s">
        <v>251</v>
      </c>
      <c r="E89" s="9" t="s">
        <v>262</v>
      </c>
      <c r="F89" s="9" t="s">
        <v>287</v>
      </c>
      <c r="G89" s="10">
        <v>0.6</v>
      </c>
      <c r="H89" s="15">
        <v>59</v>
      </c>
      <c r="I89" s="15">
        <v>40</v>
      </c>
      <c r="J89" s="15">
        <v>25</v>
      </c>
      <c r="K89" s="15">
        <v>71.3</v>
      </c>
    </row>
    <row r="90" spans="1:11" ht="15" customHeight="1" x14ac:dyDescent="0.2">
      <c r="A90" s="9" t="s">
        <v>651</v>
      </c>
      <c r="B90" s="9" t="s">
        <v>1564</v>
      </c>
      <c r="C90" s="9" t="s">
        <v>236</v>
      </c>
      <c r="D90" s="9" t="s">
        <v>251</v>
      </c>
      <c r="E90" s="9" t="s">
        <v>260</v>
      </c>
      <c r="F90" s="9" t="s">
        <v>287</v>
      </c>
      <c r="G90" s="10">
        <v>0.25</v>
      </c>
      <c r="H90" s="15">
        <v>83</v>
      </c>
      <c r="I90" s="15">
        <v>52</v>
      </c>
      <c r="J90" s="15">
        <v>34</v>
      </c>
      <c r="K90" s="15">
        <v>142.9</v>
      </c>
    </row>
    <row r="91" spans="1:11" ht="15" customHeight="1" x14ac:dyDescent="0.2">
      <c r="A91" s="9" t="s">
        <v>652</v>
      </c>
      <c r="B91" s="9" t="s">
        <v>1564</v>
      </c>
      <c r="C91" s="9" t="s">
        <v>236</v>
      </c>
      <c r="D91" s="9" t="s">
        <v>251</v>
      </c>
      <c r="E91" s="9" t="s">
        <v>261</v>
      </c>
      <c r="F91" s="9" t="s">
        <v>287</v>
      </c>
      <c r="G91" s="10">
        <v>0</v>
      </c>
      <c r="H91" s="15">
        <v>47</v>
      </c>
      <c r="I91" s="15">
        <v>31</v>
      </c>
      <c r="J91" s="15">
        <v>15</v>
      </c>
      <c r="K91" s="15">
        <v>23.2</v>
      </c>
    </row>
    <row r="92" spans="1:11" ht="15" customHeight="1" x14ac:dyDescent="0.2">
      <c r="A92" s="9" t="s">
        <v>40</v>
      </c>
      <c r="B92" s="9" t="s">
        <v>1564</v>
      </c>
      <c r="C92" s="9" t="s">
        <v>236</v>
      </c>
      <c r="D92" s="9" t="s">
        <v>751</v>
      </c>
      <c r="E92" s="9" t="s">
        <v>708</v>
      </c>
      <c r="F92" s="9" t="s">
        <v>287</v>
      </c>
      <c r="G92" s="10">
        <v>0.4</v>
      </c>
      <c r="H92" s="15">
        <v>60</v>
      </c>
      <c r="I92" s="15">
        <v>58</v>
      </c>
      <c r="J92" s="15">
        <v>46</v>
      </c>
      <c r="K92" s="15">
        <v>137.9</v>
      </c>
    </row>
    <row r="93" spans="1:11" ht="15" customHeight="1" x14ac:dyDescent="0.2">
      <c r="A93" s="9" t="s">
        <v>54</v>
      </c>
      <c r="B93" s="9" t="s">
        <v>1564</v>
      </c>
      <c r="C93" s="9" t="s">
        <v>236</v>
      </c>
      <c r="D93" s="9" t="s">
        <v>251</v>
      </c>
      <c r="E93" s="9" t="s">
        <v>261</v>
      </c>
      <c r="F93" s="9" t="s">
        <v>287</v>
      </c>
      <c r="G93" s="10">
        <v>0.35</v>
      </c>
      <c r="H93" s="15">
        <v>71</v>
      </c>
      <c r="I93" s="15">
        <v>48</v>
      </c>
      <c r="J93" s="15">
        <v>30</v>
      </c>
      <c r="K93" s="15">
        <v>106.1</v>
      </c>
    </row>
    <row r="94" spans="1:11" ht="15" customHeight="1" x14ac:dyDescent="0.2">
      <c r="A94" s="9" t="s">
        <v>145</v>
      </c>
      <c r="B94" s="9" t="s">
        <v>1564</v>
      </c>
      <c r="C94" s="9" t="s">
        <v>236</v>
      </c>
      <c r="D94" s="9" t="s">
        <v>253</v>
      </c>
      <c r="E94" s="9" t="s">
        <v>262</v>
      </c>
      <c r="F94" s="9" t="s">
        <v>287</v>
      </c>
      <c r="G94" s="10">
        <v>0.5</v>
      </c>
      <c r="H94" s="15">
        <v>71</v>
      </c>
      <c r="I94" s="15">
        <v>53</v>
      </c>
      <c r="J94" s="15">
        <v>42</v>
      </c>
      <c r="K94" s="15">
        <v>175.3</v>
      </c>
    </row>
    <row r="95" spans="1:11" ht="15" customHeight="1" x14ac:dyDescent="0.2">
      <c r="A95" s="9" t="s">
        <v>39</v>
      </c>
      <c r="B95" s="9" t="s">
        <v>1564</v>
      </c>
      <c r="C95" s="9" t="s">
        <v>236</v>
      </c>
      <c r="D95" s="9" t="s">
        <v>751</v>
      </c>
      <c r="E95" s="9" t="s">
        <v>261</v>
      </c>
      <c r="F95" s="9" t="s">
        <v>287</v>
      </c>
      <c r="G95" s="10">
        <v>0.4</v>
      </c>
      <c r="H95" s="15">
        <v>110</v>
      </c>
      <c r="I95" s="15">
        <v>100</v>
      </c>
      <c r="J95" s="15">
        <v>58</v>
      </c>
      <c r="K95" s="15">
        <v>837.2</v>
      </c>
    </row>
    <row r="96" spans="1:11" ht="15" customHeight="1" x14ac:dyDescent="0.2">
      <c r="A96" s="9" t="s">
        <v>1099</v>
      </c>
      <c r="B96" s="9" t="s">
        <v>1564</v>
      </c>
      <c r="C96" s="9" t="s">
        <v>236</v>
      </c>
      <c r="D96" s="9" t="s">
        <v>251</v>
      </c>
      <c r="E96" s="9" t="s">
        <v>261</v>
      </c>
      <c r="F96" s="9" t="s">
        <v>287</v>
      </c>
      <c r="G96" s="10">
        <v>0</v>
      </c>
      <c r="H96" s="15">
        <v>73</v>
      </c>
      <c r="I96" s="15">
        <v>60</v>
      </c>
      <c r="J96" s="15">
        <v>27</v>
      </c>
      <c r="K96" s="15">
        <v>124</v>
      </c>
    </row>
    <row r="97" spans="1:11" ht="15" customHeight="1" x14ac:dyDescent="0.2">
      <c r="A97" t="s">
        <v>803</v>
      </c>
      <c r="B97" s="9" t="s">
        <v>1564</v>
      </c>
      <c r="C97" s="9" t="s">
        <v>236</v>
      </c>
      <c r="D97" s="9" t="s">
        <v>251</v>
      </c>
      <c r="E97" s="9" t="s">
        <v>262</v>
      </c>
      <c r="F97" s="9" t="s">
        <v>287</v>
      </c>
      <c r="G97" s="10">
        <v>0.55000000000000004</v>
      </c>
      <c r="H97" s="15">
        <v>58</v>
      </c>
      <c r="I97" s="15">
        <v>41</v>
      </c>
      <c r="J97" s="15">
        <v>30</v>
      </c>
      <c r="K97" s="15">
        <v>130.5</v>
      </c>
    </row>
    <row r="98" spans="1:11" ht="15" customHeight="1" x14ac:dyDescent="0.2">
      <c r="A98" t="s">
        <v>806</v>
      </c>
      <c r="B98" s="9" t="s">
        <v>1564</v>
      </c>
      <c r="C98" s="9" t="s">
        <v>236</v>
      </c>
      <c r="D98" s="9" t="s">
        <v>251</v>
      </c>
      <c r="E98" s="9" t="s">
        <v>260</v>
      </c>
      <c r="F98" s="9" t="s">
        <v>287</v>
      </c>
      <c r="G98" s="10">
        <v>0.6</v>
      </c>
      <c r="H98" s="15">
        <v>42</v>
      </c>
      <c r="I98" s="15">
        <v>35</v>
      </c>
      <c r="J98" s="15">
        <v>18</v>
      </c>
      <c r="K98" s="15">
        <v>57.2</v>
      </c>
    </row>
    <row r="99" spans="1:11" ht="15" customHeight="1" x14ac:dyDescent="0.2">
      <c r="A99" t="s">
        <v>969</v>
      </c>
      <c r="B99" s="9" t="s">
        <v>1564</v>
      </c>
      <c r="C99" s="9" t="s">
        <v>236</v>
      </c>
      <c r="D99" s="9" t="s">
        <v>251</v>
      </c>
      <c r="E99" s="9" t="s">
        <v>261</v>
      </c>
      <c r="F99" s="9" t="s">
        <v>287</v>
      </c>
      <c r="G99" s="10">
        <v>0.4</v>
      </c>
      <c r="H99" s="15">
        <v>47</v>
      </c>
      <c r="I99" s="15">
        <v>33</v>
      </c>
      <c r="J99" s="15">
        <v>11</v>
      </c>
      <c r="K99" s="15">
        <v>36.6</v>
      </c>
    </row>
    <row r="100" spans="1:11" ht="15" customHeight="1" x14ac:dyDescent="0.2">
      <c r="A100" t="s">
        <v>827</v>
      </c>
      <c r="B100" s="9" t="s">
        <v>1564</v>
      </c>
      <c r="C100" s="9" t="s">
        <v>236</v>
      </c>
      <c r="D100" s="9" t="s">
        <v>251</v>
      </c>
      <c r="E100" s="9" t="s">
        <v>262</v>
      </c>
      <c r="F100" s="9" t="s">
        <v>287</v>
      </c>
      <c r="G100" s="10">
        <v>0.4</v>
      </c>
      <c r="H100" s="15">
        <v>54</v>
      </c>
      <c r="I100" s="15">
        <v>47</v>
      </c>
      <c r="J100" s="15">
        <v>27</v>
      </c>
      <c r="K100" s="15">
        <v>179.1</v>
      </c>
    </row>
    <row r="101" spans="1:11" ht="15" customHeight="1" x14ac:dyDescent="0.2">
      <c r="A101" t="s">
        <v>971</v>
      </c>
      <c r="B101" s="9" t="s">
        <v>1564</v>
      </c>
      <c r="C101" s="9" t="s">
        <v>236</v>
      </c>
      <c r="D101" s="9" t="s">
        <v>251</v>
      </c>
      <c r="E101" s="9" t="s">
        <v>262</v>
      </c>
      <c r="F101" s="9" t="s">
        <v>287</v>
      </c>
      <c r="G101" s="10">
        <v>0.7</v>
      </c>
      <c r="H101" s="15">
        <v>48</v>
      </c>
      <c r="I101" s="15">
        <v>62</v>
      </c>
      <c r="J101" s="15">
        <v>32</v>
      </c>
      <c r="K101" s="15">
        <v>223</v>
      </c>
    </row>
    <row r="102" spans="1:11" ht="15" customHeight="1" x14ac:dyDescent="0.2">
      <c r="A102" t="s">
        <v>1153</v>
      </c>
      <c r="B102" s="9" t="s">
        <v>1564</v>
      </c>
      <c r="C102" s="9" t="s">
        <v>236</v>
      </c>
      <c r="D102" s="9" t="s">
        <v>251</v>
      </c>
      <c r="E102" s="9" t="s">
        <v>261</v>
      </c>
      <c r="F102" s="9" t="s">
        <v>287</v>
      </c>
      <c r="G102" s="10">
        <v>0.55000000000000004</v>
      </c>
      <c r="H102" s="15">
        <v>63</v>
      </c>
      <c r="I102" s="15">
        <v>59</v>
      </c>
      <c r="J102" s="15">
        <v>27</v>
      </c>
      <c r="K102" s="15">
        <v>208.6</v>
      </c>
    </row>
    <row r="103" spans="1:11" ht="15" customHeight="1" x14ac:dyDescent="0.2">
      <c r="A103" s="9" t="s">
        <v>1154</v>
      </c>
      <c r="B103" s="9" t="s">
        <v>1564</v>
      </c>
      <c r="C103" s="9" t="s">
        <v>236</v>
      </c>
      <c r="D103" s="9" t="s">
        <v>251</v>
      </c>
      <c r="E103" s="9" t="s">
        <v>262</v>
      </c>
      <c r="F103" s="9" t="s">
        <v>287</v>
      </c>
      <c r="G103" s="10">
        <v>0.3</v>
      </c>
      <c r="H103" s="15">
        <v>74</v>
      </c>
      <c r="I103" s="15">
        <v>52</v>
      </c>
      <c r="J103" s="15">
        <v>44</v>
      </c>
      <c r="K103" s="15">
        <v>367.8</v>
      </c>
    </row>
    <row r="104" spans="1:11" ht="15" customHeight="1" x14ac:dyDescent="0.2">
      <c r="A104" s="9" t="s">
        <v>1155</v>
      </c>
      <c r="B104" s="9" t="s">
        <v>1564</v>
      </c>
      <c r="C104" s="9" t="s">
        <v>236</v>
      </c>
      <c r="D104" s="9" t="s">
        <v>251</v>
      </c>
      <c r="E104" s="9" t="s">
        <v>263</v>
      </c>
      <c r="F104" s="9" t="s">
        <v>287</v>
      </c>
      <c r="G104" s="10">
        <v>0.4</v>
      </c>
      <c r="H104" s="15">
        <v>51</v>
      </c>
      <c r="I104" s="15">
        <v>49</v>
      </c>
      <c r="J104" s="15">
        <v>39</v>
      </c>
      <c r="K104" s="15">
        <v>230.5</v>
      </c>
    </row>
    <row r="105" spans="1:11" ht="15" customHeight="1" x14ac:dyDescent="0.2">
      <c r="A105" s="9" t="s">
        <v>1156</v>
      </c>
      <c r="B105" s="9" t="s">
        <v>1564</v>
      </c>
      <c r="C105" s="9" t="s">
        <v>236</v>
      </c>
      <c r="D105" s="9" t="s">
        <v>251</v>
      </c>
      <c r="E105" s="9" t="s">
        <v>261</v>
      </c>
      <c r="F105" s="9" t="s">
        <v>287</v>
      </c>
      <c r="G105" s="10">
        <v>0.55000000000000004</v>
      </c>
      <c r="H105" s="15">
        <v>67</v>
      </c>
      <c r="I105" s="15">
        <v>52</v>
      </c>
      <c r="J105" s="15">
        <v>41</v>
      </c>
      <c r="K105" s="15">
        <v>303.2</v>
      </c>
    </row>
    <row r="106" spans="1:11" ht="15" customHeight="1" x14ac:dyDescent="0.2">
      <c r="A106" s="9" t="s">
        <v>1157</v>
      </c>
      <c r="B106" s="9" t="s">
        <v>1564</v>
      </c>
      <c r="C106" s="9" t="s">
        <v>236</v>
      </c>
      <c r="D106" s="9" t="s">
        <v>251</v>
      </c>
      <c r="E106" s="9" t="s">
        <v>261</v>
      </c>
      <c r="F106" s="9" t="s">
        <v>287</v>
      </c>
      <c r="G106" s="10">
        <v>0.35</v>
      </c>
      <c r="H106" s="15">
        <v>55</v>
      </c>
      <c r="I106" s="15">
        <v>40</v>
      </c>
      <c r="J106" s="15">
        <v>13</v>
      </c>
      <c r="K106" s="15">
        <v>67.099999999999994</v>
      </c>
    </row>
    <row r="107" spans="1:11" ht="15" customHeight="1" x14ac:dyDescent="0.2">
      <c r="A107" s="9" t="s">
        <v>1158</v>
      </c>
      <c r="B107" s="9" t="s">
        <v>1564</v>
      </c>
      <c r="C107" s="9" t="s">
        <v>236</v>
      </c>
      <c r="D107" s="9" t="s">
        <v>251</v>
      </c>
      <c r="E107" s="9" t="s">
        <v>263</v>
      </c>
      <c r="F107" s="9" t="s">
        <v>287</v>
      </c>
      <c r="G107" s="10">
        <v>0.6</v>
      </c>
      <c r="H107" s="15">
        <v>73</v>
      </c>
      <c r="I107" s="15">
        <v>46</v>
      </c>
      <c r="J107" s="15">
        <v>36</v>
      </c>
      <c r="K107" s="15">
        <v>262.89999999999998</v>
      </c>
    </row>
    <row r="108" spans="1:11" ht="15" customHeight="1" x14ac:dyDescent="0.2">
      <c r="A108" s="9" t="s">
        <v>1159</v>
      </c>
      <c r="B108" s="9" t="s">
        <v>1564</v>
      </c>
      <c r="C108" s="9" t="s">
        <v>236</v>
      </c>
      <c r="D108" s="9" t="s">
        <v>251</v>
      </c>
      <c r="E108" s="9" t="s">
        <v>261</v>
      </c>
      <c r="F108" s="9" t="s">
        <v>287</v>
      </c>
      <c r="G108" s="10">
        <v>0.35</v>
      </c>
      <c r="H108" s="15">
        <v>69</v>
      </c>
      <c r="I108" s="15">
        <v>61</v>
      </c>
      <c r="J108" s="15">
        <v>31</v>
      </c>
      <c r="K108" s="15">
        <v>196.6</v>
      </c>
    </row>
    <row r="109" spans="1:11" ht="15" customHeight="1" x14ac:dyDescent="0.2">
      <c r="A109" s="9" t="s">
        <v>1160</v>
      </c>
      <c r="B109" s="9" t="s">
        <v>1564</v>
      </c>
      <c r="C109" s="9" t="s">
        <v>236</v>
      </c>
      <c r="D109" s="9" t="s">
        <v>251</v>
      </c>
      <c r="E109" s="9" t="s">
        <v>260</v>
      </c>
      <c r="F109" s="9" t="s">
        <v>287</v>
      </c>
      <c r="G109" s="10">
        <v>0.7</v>
      </c>
      <c r="H109" s="15">
        <v>88</v>
      </c>
      <c r="I109" s="15">
        <v>51</v>
      </c>
      <c r="J109" s="15">
        <v>42</v>
      </c>
      <c r="K109" s="15">
        <v>342.2</v>
      </c>
    </row>
    <row r="110" spans="1:11" ht="15" customHeight="1" x14ac:dyDescent="0.2">
      <c r="A110" s="9" t="s">
        <v>1161</v>
      </c>
      <c r="B110" s="9" t="s">
        <v>1564</v>
      </c>
      <c r="C110" s="9" t="s">
        <v>236</v>
      </c>
      <c r="D110" s="9" t="s">
        <v>251</v>
      </c>
      <c r="E110" s="9" t="s">
        <v>262</v>
      </c>
      <c r="F110" s="9" t="s">
        <v>287</v>
      </c>
      <c r="G110" s="10">
        <v>0.4</v>
      </c>
      <c r="H110" s="15">
        <v>72</v>
      </c>
      <c r="I110" s="15">
        <v>45</v>
      </c>
      <c r="J110" s="15">
        <v>28</v>
      </c>
      <c r="K110" s="15">
        <v>190.1</v>
      </c>
    </row>
    <row r="111" spans="1:11" ht="15" customHeight="1" x14ac:dyDescent="0.2">
      <c r="A111" s="9" t="s">
        <v>1162</v>
      </c>
      <c r="B111" s="9" t="s">
        <v>1564</v>
      </c>
      <c r="C111" s="9" t="s">
        <v>236</v>
      </c>
      <c r="D111" s="9" t="s">
        <v>251</v>
      </c>
      <c r="E111" s="9" t="s">
        <v>261</v>
      </c>
      <c r="F111" s="9" t="s">
        <v>287</v>
      </c>
      <c r="G111" s="10">
        <v>0.6</v>
      </c>
      <c r="H111" s="15">
        <v>78</v>
      </c>
      <c r="I111" s="15">
        <v>46</v>
      </c>
      <c r="J111" s="15">
        <v>41</v>
      </c>
      <c r="K111" s="15">
        <v>254.4</v>
      </c>
    </row>
    <row r="112" spans="1:11" ht="15" customHeight="1" x14ac:dyDescent="0.2">
      <c r="A112" s="9" t="s">
        <v>1163</v>
      </c>
      <c r="B112" s="9" t="s">
        <v>1564</v>
      </c>
      <c r="C112" s="9" t="s">
        <v>236</v>
      </c>
      <c r="D112" s="9" t="s">
        <v>251</v>
      </c>
      <c r="E112" s="9" t="s">
        <v>262</v>
      </c>
      <c r="F112" s="9" t="s">
        <v>287</v>
      </c>
      <c r="G112" s="10">
        <v>0.8</v>
      </c>
      <c r="H112" s="15">
        <v>71</v>
      </c>
      <c r="I112" s="15">
        <v>59</v>
      </c>
      <c r="J112" s="15">
        <v>11</v>
      </c>
      <c r="K112" s="15">
        <v>110.4</v>
      </c>
    </row>
    <row r="113" spans="1:11" ht="15" customHeight="1" x14ac:dyDescent="0.2">
      <c r="A113" s="9" t="s">
        <v>1164</v>
      </c>
      <c r="B113" s="9" t="s">
        <v>1564</v>
      </c>
      <c r="C113" s="9" t="s">
        <v>236</v>
      </c>
      <c r="D113" s="9" t="s">
        <v>251</v>
      </c>
      <c r="E113" s="9" t="s">
        <v>261</v>
      </c>
      <c r="F113" s="9" t="s">
        <v>287</v>
      </c>
      <c r="G113" s="10">
        <v>0.4</v>
      </c>
      <c r="H113" s="15">
        <v>54</v>
      </c>
      <c r="I113" s="15">
        <v>42</v>
      </c>
      <c r="J113" s="15">
        <v>22</v>
      </c>
      <c r="K113" s="15">
        <v>141.30000000000001</v>
      </c>
    </row>
    <row r="114" spans="1:11" ht="15" customHeight="1" x14ac:dyDescent="0.2">
      <c r="A114" s="9" t="s">
        <v>1165</v>
      </c>
      <c r="B114" s="9" t="s">
        <v>1564</v>
      </c>
      <c r="C114" s="9" t="s">
        <v>236</v>
      </c>
      <c r="D114" s="9" t="s">
        <v>251</v>
      </c>
      <c r="E114" s="9" t="s">
        <v>262</v>
      </c>
      <c r="F114" s="9" t="s">
        <v>287</v>
      </c>
      <c r="G114" s="10">
        <v>0.6</v>
      </c>
      <c r="H114" s="15">
        <v>52</v>
      </c>
      <c r="I114" s="15">
        <v>55</v>
      </c>
      <c r="J114" s="15">
        <v>40</v>
      </c>
      <c r="K114" s="15">
        <v>306.3</v>
      </c>
    </row>
    <row r="115" spans="1:11" ht="15" customHeight="1" x14ac:dyDescent="0.2">
      <c r="A115" s="9" t="s">
        <v>1166</v>
      </c>
      <c r="B115" s="9" t="s">
        <v>1564</v>
      </c>
      <c r="C115" s="9" t="s">
        <v>236</v>
      </c>
      <c r="D115" s="9" t="s">
        <v>251</v>
      </c>
      <c r="E115" s="9" t="s">
        <v>262</v>
      </c>
      <c r="F115" s="9" t="s">
        <v>287</v>
      </c>
      <c r="G115" s="10">
        <v>0.6</v>
      </c>
      <c r="H115" s="15">
        <v>68</v>
      </c>
      <c r="I115" s="15">
        <v>44</v>
      </c>
      <c r="J115" s="15">
        <v>17</v>
      </c>
      <c r="K115" s="15">
        <v>105.2</v>
      </c>
    </row>
    <row r="116" spans="1:11" ht="15" customHeight="1" x14ac:dyDescent="0.2">
      <c r="A116" s="9" t="s">
        <v>1167</v>
      </c>
      <c r="B116" s="9" t="s">
        <v>1564</v>
      </c>
      <c r="C116" s="9" t="s">
        <v>236</v>
      </c>
      <c r="D116" s="9" t="s">
        <v>251</v>
      </c>
      <c r="E116" s="9" t="s">
        <v>262</v>
      </c>
      <c r="F116" s="9" t="s">
        <v>287</v>
      </c>
      <c r="G116" s="10">
        <v>0.5</v>
      </c>
      <c r="H116" s="15">
        <v>75</v>
      </c>
      <c r="I116" s="15">
        <v>54</v>
      </c>
      <c r="J116" s="15">
        <v>45</v>
      </c>
      <c r="K116" s="15">
        <v>512.4</v>
      </c>
    </row>
    <row r="117" spans="1:11" ht="15" customHeight="1" x14ac:dyDescent="0.2">
      <c r="A117" s="9" t="s">
        <v>1168</v>
      </c>
      <c r="B117" s="9" t="s">
        <v>1564</v>
      </c>
      <c r="C117" s="9" t="s">
        <v>236</v>
      </c>
      <c r="D117" s="9" t="s">
        <v>251</v>
      </c>
      <c r="E117" s="9" t="s">
        <v>262</v>
      </c>
      <c r="F117" s="9" t="s">
        <v>287</v>
      </c>
      <c r="G117" s="10">
        <v>0.55000000000000004</v>
      </c>
      <c r="H117" s="15">
        <v>58</v>
      </c>
      <c r="I117" s="15">
        <v>44</v>
      </c>
      <c r="J117" s="15">
        <v>33</v>
      </c>
      <c r="K117" s="15">
        <v>186</v>
      </c>
    </row>
    <row r="118" spans="1:11" ht="15" customHeight="1" x14ac:dyDescent="0.2">
      <c r="A118" s="9" t="s">
        <v>1169</v>
      </c>
      <c r="B118" s="9" t="s">
        <v>1564</v>
      </c>
      <c r="C118" s="9" t="s">
        <v>236</v>
      </c>
      <c r="D118" s="9" t="s">
        <v>251</v>
      </c>
      <c r="E118" s="9" t="s">
        <v>261</v>
      </c>
      <c r="F118" s="9" t="s">
        <v>287</v>
      </c>
      <c r="G118" s="10">
        <v>0.35</v>
      </c>
      <c r="H118" s="15">
        <v>68</v>
      </c>
      <c r="I118" s="15">
        <v>49</v>
      </c>
      <c r="J118" s="15">
        <v>22</v>
      </c>
      <c r="K118" s="15">
        <v>148.30000000000001</v>
      </c>
    </row>
    <row r="119" spans="1:11" ht="15" customHeight="1" x14ac:dyDescent="0.2">
      <c r="A119" s="9" t="s">
        <v>1170</v>
      </c>
      <c r="B119" s="9" t="s">
        <v>1564</v>
      </c>
      <c r="C119" s="9" t="s">
        <v>236</v>
      </c>
      <c r="D119" s="9" t="s">
        <v>251</v>
      </c>
      <c r="E119" s="9" t="s">
        <v>263</v>
      </c>
      <c r="F119" s="9" t="s">
        <v>287</v>
      </c>
      <c r="G119" s="10">
        <v>0.7</v>
      </c>
      <c r="H119" s="15">
        <v>65</v>
      </c>
      <c r="I119" s="15">
        <v>62</v>
      </c>
      <c r="J119" s="15">
        <v>30</v>
      </c>
      <c r="K119" s="15">
        <v>232.8</v>
      </c>
    </row>
    <row r="120" spans="1:11" ht="15" customHeight="1" x14ac:dyDescent="0.2">
      <c r="A120" s="9" t="s">
        <v>1171</v>
      </c>
      <c r="B120" s="9" t="s">
        <v>1564</v>
      </c>
      <c r="C120" s="9" t="s">
        <v>236</v>
      </c>
      <c r="D120" s="9" t="s">
        <v>251</v>
      </c>
      <c r="E120" s="9" t="s">
        <v>262</v>
      </c>
      <c r="F120" s="9" t="s">
        <v>287</v>
      </c>
      <c r="G120" s="10">
        <v>0.3</v>
      </c>
      <c r="H120" s="15">
        <v>62</v>
      </c>
      <c r="I120" s="15">
        <v>45</v>
      </c>
      <c r="J120" s="15">
        <v>27</v>
      </c>
      <c r="K120" s="15">
        <v>153.4</v>
      </c>
    </row>
    <row r="121" spans="1:11" ht="15" customHeight="1" x14ac:dyDescent="0.2">
      <c r="A121" s="9" t="s">
        <v>1172</v>
      </c>
      <c r="B121" s="9" t="s">
        <v>1564</v>
      </c>
      <c r="C121" s="9" t="s">
        <v>236</v>
      </c>
      <c r="D121" s="9" t="s">
        <v>251</v>
      </c>
      <c r="E121" s="9" t="s">
        <v>262</v>
      </c>
      <c r="F121" s="9" t="s">
        <v>287</v>
      </c>
      <c r="G121" s="10">
        <v>0.8</v>
      </c>
      <c r="H121" s="15">
        <v>60</v>
      </c>
      <c r="I121" s="15">
        <v>58</v>
      </c>
      <c r="J121" s="15">
        <v>39</v>
      </c>
      <c r="K121" s="15">
        <v>272.10000000000002</v>
      </c>
    </row>
    <row r="122" spans="1:11" ht="15" customHeight="1" x14ac:dyDescent="0.2">
      <c r="A122" s="9" t="s">
        <v>1173</v>
      </c>
      <c r="B122" s="9" t="s">
        <v>1564</v>
      </c>
      <c r="C122" s="9" t="s">
        <v>236</v>
      </c>
      <c r="D122" s="9" t="s">
        <v>251</v>
      </c>
      <c r="E122" s="9" t="s">
        <v>262</v>
      </c>
      <c r="F122" s="9" t="s">
        <v>287</v>
      </c>
      <c r="G122" s="10">
        <v>0.4</v>
      </c>
      <c r="H122" s="15">
        <v>65</v>
      </c>
      <c r="I122" s="15">
        <v>56</v>
      </c>
      <c r="J122" s="15">
        <v>38</v>
      </c>
      <c r="K122" s="15">
        <v>306.7</v>
      </c>
    </row>
    <row r="123" spans="1:11" ht="15" customHeight="1" x14ac:dyDescent="0.2">
      <c r="A123" s="9" t="s">
        <v>1174</v>
      </c>
      <c r="B123" s="9" t="s">
        <v>1564</v>
      </c>
      <c r="C123" s="9" t="s">
        <v>236</v>
      </c>
      <c r="D123" s="9" t="s">
        <v>251</v>
      </c>
      <c r="E123" s="9" t="s">
        <v>261</v>
      </c>
      <c r="F123" s="9" t="s">
        <v>287</v>
      </c>
      <c r="G123" s="10">
        <v>0.3</v>
      </c>
      <c r="H123" s="15">
        <v>70</v>
      </c>
      <c r="I123" s="15">
        <v>38</v>
      </c>
      <c r="J123" s="15">
        <v>18</v>
      </c>
      <c r="K123" s="15">
        <v>106</v>
      </c>
    </row>
    <row r="124" spans="1:11" ht="15" customHeight="1" x14ac:dyDescent="0.2">
      <c r="A124" s="9" t="s">
        <v>1175</v>
      </c>
      <c r="B124" s="9" t="s">
        <v>1564</v>
      </c>
      <c r="C124" s="9" t="s">
        <v>236</v>
      </c>
      <c r="D124" s="9" t="s">
        <v>251</v>
      </c>
      <c r="E124" s="9" t="s">
        <v>262</v>
      </c>
      <c r="F124" s="9" t="s">
        <v>287</v>
      </c>
      <c r="G124" s="10">
        <v>0.35</v>
      </c>
      <c r="H124" s="15">
        <v>58</v>
      </c>
      <c r="I124" s="15">
        <v>57</v>
      </c>
      <c r="J124" s="15">
        <v>21</v>
      </c>
      <c r="K124" s="15">
        <v>149.30000000000001</v>
      </c>
    </row>
    <row r="125" spans="1:11" ht="15" customHeight="1" x14ac:dyDescent="0.2">
      <c r="A125" s="9" t="s">
        <v>1176</v>
      </c>
      <c r="B125" s="9" t="s">
        <v>1564</v>
      </c>
      <c r="C125" s="9" t="s">
        <v>236</v>
      </c>
      <c r="D125" s="9" t="s">
        <v>251</v>
      </c>
      <c r="E125" s="9" t="s">
        <v>261</v>
      </c>
      <c r="F125" s="9" t="s">
        <v>287</v>
      </c>
      <c r="G125" s="10">
        <v>0.55000000000000004</v>
      </c>
      <c r="H125" s="15">
        <v>69</v>
      </c>
      <c r="I125" s="15">
        <v>36</v>
      </c>
      <c r="J125" s="15">
        <v>42</v>
      </c>
      <c r="K125" s="15">
        <v>242.7</v>
      </c>
    </row>
    <row r="126" spans="1:11" ht="15" customHeight="1" x14ac:dyDescent="0.2">
      <c r="A126" s="9" t="s">
        <v>1177</v>
      </c>
      <c r="B126" s="9" t="s">
        <v>1564</v>
      </c>
      <c r="C126" s="9" t="s">
        <v>236</v>
      </c>
      <c r="D126" s="9" t="s">
        <v>251</v>
      </c>
      <c r="E126" s="9" t="s">
        <v>261</v>
      </c>
      <c r="F126" s="9" t="s">
        <v>287</v>
      </c>
      <c r="G126" s="10">
        <v>0.5</v>
      </c>
      <c r="H126" s="15">
        <v>69</v>
      </c>
      <c r="I126" s="15">
        <v>50</v>
      </c>
      <c r="J126" s="15">
        <v>31</v>
      </c>
      <c r="K126" s="15">
        <v>284.89999999999998</v>
      </c>
    </row>
    <row r="127" spans="1:11" ht="15" customHeight="1" x14ac:dyDescent="0.2">
      <c r="A127" s="9" t="s">
        <v>1178</v>
      </c>
      <c r="B127" s="9" t="s">
        <v>1564</v>
      </c>
      <c r="C127" s="9" t="s">
        <v>236</v>
      </c>
      <c r="D127" s="9" t="s">
        <v>251</v>
      </c>
      <c r="E127" s="9" t="s">
        <v>261</v>
      </c>
      <c r="F127" s="9" t="s">
        <v>287</v>
      </c>
      <c r="G127" s="10">
        <v>0.3</v>
      </c>
      <c r="H127" s="15">
        <v>89</v>
      </c>
      <c r="I127" s="15">
        <v>53</v>
      </c>
      <c r="J127" s="15">
        <v>38</v>
      </c>
      <c r="K127" s="15">
        <v>457.2</v>
      </c>
    </row>
    <row r="128" spans="1:11" ht="15" customHeight="1" x14ac:dyDescent="0.2">
      <c r="A128" s="9" t="s">
        <v>1179</v>
      </c>
      <c r="B128" s="9" t="s">
        <v>1564</v>
      </c>
      <c r="C128" s="9" t="s">
        <v>236</v>
      </c>
      <c r="D128" s="9" t="s">
        <v>251</v>
      </c>
      <c r="E128" s="9" t="s">
        <v>261</v>
      </c>
      <c r="F128" s="9" t="s">
        <v>287</v>
      </c>
      <c r="G128" s="10">
        <v>0.7</v>
      </c>
      <c r="H128" s="15">
        <v>51</v>
      </c>
      <c r="I128" s="15">
        <v>36</v>
      </c>
      <c r="J128" s="15">
        <v>36</v>
      </c>
      <c r="K128" s="15">
        <v>108.8</v>
      </c>
    </row>
    <row r="129" spans="1:11" ht="15" customHeight="1" x14ac:dyDescent="0.2">
      <c r="A129" s="9" t="s">
        <v>1180</v>
      </c>
      <c r="B129" s="9" t="s">
        <v>1564</v>
      </c>
      <c r="C129" s="9" t="s">
        <v>236</v>
      </c>
      <c r="D129" s="9" t="s">
        <v>251</v>
      </c>
      <c r="E129" s="9" t="s">
        <v>262</v>
      </c>
      <c r="F129" s="9" t="s">
        <v>287</v>
      </c>
      <c r="G129" s="10">
        <v>0.6</v>
      </c>
      <c r="H129" s="15">
        <v>91</v>
      </c>
      <c r="I129" s="15">
        <v>50</v>
      </c>
      <c r="J129" s="15">
        <v>49</v>
      </c>
      <c r="K129" s="15">
        <v>302.7</v>
      </c>
    </row>
    <row r="130" spans="1:11" ht="15" customHeight="1" x14ac:dyDescent="0.2">
      <c r="A130" s="9" t="s">
        <v>1181</v>
      </c>
      <c r="B130" s="9" t="s">
        <v>1564</v>
      </c>
      <c r="C130" s="9" t="s">
        <v>236</v>
      </c>
      <c r="D130" s="9" t="s">
        <v>251</v>
      </c>
      <c r="E130" s="9" t="s">
        <v>262</v>
      </c>
      <c r="F130" s="9" t="s">
        <v>287</v>
      </c>
      <c r="G130" s="10">
        <v>0.4</v>
      </c>
      <c r="H130" s="15">
        <v>76</v>
      </c>
      <c r="I130" s="15">
        <v>60</v>
      </c>
      <c r="J130" s="15">
        <v>43</v>
      </c>
      <c r="K130" s="15">
        <v>498.8</v>
      </c>
    </row>
    <row r="131" spans="1:11" ht="15" customHeight="1" x14ac:dyDescent="0.2">
      <c r="A131" s="9" t="s">
        <v>1182</v>
      </c>
      <c r="B131" s="9" t="s">
        <v>1564</v>
      </c>
      <c r="C131" s="9" t="s">
        <v>236</v>
      </c>
      <c r="D131" s="9" t="s">
        <v>251</v>
      </c>
      <c r="E131" s="9" t="s">
        <v>262</v>
      </c>
      <c r="F131" s="9" t="s">
        <v>287</v>
      </c>
      <c r="G131" s="10">
        <v>0.4</v>
      </c>
      <c r="H131" s="15">
        <v>63</v>
      </c>
      <c r="I131" s="15">
        <v>58</v>
      </c>
      <c r="J131" s="15">
        <v>44</v>
      </c>
      <c r="K131" s="15">
        <v>270.3</v>
      </c>
    </row>
    <row r="132" spans="1:11" ht="15" customHeight="1" x14ac:dyDescent="0.2">
      <c r="A132" s="9" t="s">
        <v>1183</v>
      </c>
      <c r="B132" s="9" t="s">
        <v>1564</v>
      </c>
      <c r="C132" s="9" t="s">
        <v>236</v>
      </c>
      <c r="D132" s="9" t="s">
        <v>251</v>
      </c>
      <c r="E132" s="9" t="s">
        <v>261</v>
      </c>
      <c r="F132" s="9" t="s">
        <v>287</v>
      </c>
      <c r="G132" s="10">
        <v>0.6</v>
      </c>
      <c r="H132" s="15">
        <v>81</v>
      </c>
      <c r="I132" s="15">
        <v>63</v>
      </c>
      <c r="J132" s="15">
        <v>33</v>
      </c>
      <c r="K132" s="15">
        <v>347.7</v>
      </c>
    </row>
    <row r="133" spans="1:11" ht="15" customHeight="1" x14ac:dyDescent="0.2">
      <c r="A133" s="9" t="s">
        <v>1184</v>
      </c>
      <c r="B133" s="9" t="s">
        <v>1564</v>
      </c>
      <c r="C133" s="9" t="s">
        <v>236</v>
      </c>
      <c r="D133" s="9" t="s">
        <v>251</v>
      </c>
      <c r="E133" s="9" t="s">
        <v>261</v>
      </c>
      <c r="F133" s="9" t="s">
        <v>287</v>
      </c>
      <c r="G133" s="10">
        <v>0.4</v>
      </c>
      <c r="H133" s="15">
        <v>39</v>
      </c>
      <c r="I133" s="15">
        <v>37</v>
      </c>
      <c r="J133" s="15">
        <v>21</v>
      </c>
      <c r="K133" s="15">
        <v>52.8</v>
      </c>
    </row>
    <row r="134" spans="1:11" ht="15" customHeight="1" x14ac:dyDescent="0.2">
      <c r="A134" s="9" t="s">
        <v>1185</v>
      </c>
      <c r="B134" s="9" t="s">
        <v>1564</v>
      </c>
      <c r="C134" s="9" t="s">
        <v>236</v>
      </c>
      <c r="D134" s="9" t="s">
        <v>251</v>
      </c>
      <c r="E134" s="9" t="s">
        <v>262</v>
      </c>
      <c r="F134" s="9" t="s">
        <v>287</v>
      </c>
      <c r="G134" s="10">
        <v>0.6</v>
      </c>
      <c r="H134" s="15">
        <v>47</v>
      </c>
      <c r="I134" s="15">
        <v>43</v>
      </c>
      <c r="J134" s="15">
        <v>32</v>
      </c>
      <c r="K134" s="15">
        <v>100.5</v>
      </c>
    </row>
    <row r="135" spans="1:11" ht="15" customHeight="1" x14ac:dyDescent="0.2">
      <c r="A135" s="9" t="s">
        <v>1186</v>
      </c>
      <c r="B135" s="9" t="s">
        <v>1564</v>
      </c>
      <c r="C135" s="9" t="s">
        <v>236</v>
      </c>
      <c r="D135" s="9" t="s">
        <v>251</v>
      </c>
      <c r="E135" s="9" t="s">
        <v>263</v>
      </c>
      <c r="F135" s="9" t="s">
        <v>287</v>
      </c>
      <c r="G135" s="10">
        <v>0.4</v>
      </c>
      <c r="H135" s="15">
        <v>38</v>
      </c>
      <c r="I135" s="15">
        <v>39</v>
      </c>
      <c r="J135" s="15">
        <v>30</v>
      </c>
      <c r="K135" s="15">
        <v>105.4</v>
      </c>
    </row>
    <row r="136" spans="1:11" ht="15" customHeight="1" x14ac:dyDescent="0.2">
      <c r="A136" s="9" t="s">
        <v>1187</v>
      </c>
      <c r="B136" s="9" t="s">
        <v>1564</v>
      </c>
      <c r="C136" s="9" t="s">
        <v>236</v>
      </c>
      <c r="D136" s="9" t="s">
        <v>251</v>
      </c>
      <c r="E136" s="9" t="s">
        <v>261</v>
      </c>
      <c r="F136" s="9" t="s">
        <v>287</v>
      </c>
      <c r="G136" s="10">
        <v>0.55000000000000004</v>
      </c>
      <c r="H136" s="15">
        <v>64</v>
      </c>
      <c r="I136" s="15">
        <v>51</v>
      </c>
      <c r="J136" s="15">
        <v>19</v>
      </c>
      <c r="K136" s="15">
        <v>152.9</v>
      </c>
    </row>
    <row r="137" spans="1:11" ht="15" customHeight="1" x14ac:dyDescent="0.2">
      <c r="A137" s="9" t="s">
        <v>1188</v>
      </c>
      <c r="B137" s="9" t="s">
        <v>1564</v>
      </c>
      <c r="C137" s="9" t="s">
        <v>236</v>
      </c>
      <c r="D137" s="9" t="s">
        <v>251</v>
      </c>
      <c r="E137" s="9" t="s">
        <v>261</v>
      </c>
      <c r="F137" s="9" t="s">
        <v>287</v>
      </c>
      <c r="G137" s="10">
        <v>0.4</v>
      </c>
      <c r="H137" s="15">
        <v>87</v>
      </c>
      <c r="I137" s="15">
        <v>59</v>
      </c>
      <c r="J137" s="15">
        <v>40</v>
      </c>
      <c r="K137" s="15">
        <v>397.9</v>
      </c>
    </row>
    <row r="138" spans="1:11" ht="15" customHeight="1" x14ac:dyDescent="0.2">
      <c r="A138" s="9" t="s">
        <v>1189</v>
      </c>
      <c r="B138" s="9" t="s">
        <v>1564</v>
      </c>
      <c r="C138" s="9" t="s">
        <v>236</v>
      </c>
      <c r="D138" s="9" t="s">
        <v>251</v>
      </c>
      <c r="E138" s="9" t="s">
        <v>263</v>
      </c>
      <c r="F138" s="9" t="s">
        <v>287</v>
      </c>
      <c r="G138" s="10">
        <v>0.4</v>
      </c>
      <c r="H138" s="15">
        <v>63</v>
      </c>
      <c r="I138" s="15">
        <v>49</v>
      </c>
      <c r="J138" s="15">
        <v>24</v>
      </c>
      <c r="K138" s="15">
        <v>99.9</v>
      </c>
    </row>
    <row r="139" spans="1:11" ht="15" customHeight="1" x14ac:dyDescent="0.2">
      <c r="A139" s="9" t="s">
        <v>1190</v>
      </c>
      <c r="B139" s="9" t="s">
        <v>1564</v>
      </c>
      <c r="C139" s="9" t="s">
        <v>236</v>
      </c>
      <c r="D139" s="9" t="s">
        <v>251</v>
      </c>
      <c r="E139" s="9" t="s">
        <v>261</v>
      </c>
      <c r="F139" s="9" t="s">
        <v>287</v>
      </c>
      <c r="G139" s="10">
        <v>0.4</v>
      </c>
      <c r="H139" s="15">
        <v>62</v>
      </c>
      <c r="I139" s="15">
        <v>50</v>
      </c>
      <c r="J139" s="15">
        <v>24</v>
      </c>
      <c r="K139" s="15">
        <v>145</v>
      </c>
    </row>
    <row r="140" spans="1:11" ht="15" customHeight="1" x14ac:dyDescent="0.2">
      <c r="A140" s="9" t="s">
        <v>1191</v>
      </c>
      <c r="B140" s="9" t="s">
        <v>1564</v>
      </c>
      <c r="C140" s="9" t="s">
        <v>236</v>
      </c>
      <c r="D140" s="9" t="s">
        <v>251</v>
      </c>
      <c r="E140" s="9" t="s">
        <v>261</v>
      </c>
      <c r="F140" s="9" t="s">
        <v>287</v>
      </c>
      <c r="G140" s="10">
        <v>0.4</v>
      </c>
      <c r="H140" s="15">
        <v>40</v>
      </c>
      <c r="I140" s="15">
        <v>35</v>
      </c>
      <c r="J140" s="15">
        <v>7</v>
      </c>
      <c r="K140" s="15">
        <v>22.6</v>
      </c>
    </row>
    <row r="141" spans="1:11" ht="15" customHeight="1" x14ac:dyDescent="0.2">
      <c r="A141" s="9" t="s">
        <v>1192</v>
      </c>
      <c r="B141" s="9" t="s">
        <v>1564</v>
      </c>
      <c r="C141" s="9" t="s">
        <v>236</v>
      </c>
      <c r="D141" s="9" t="s">
        <v>251</v>
      </c>
      <c r="E141" s="9" t="s">
        <v>263</v>
      </c>
      <c r="F141" s="9" t="s">
        <v>287</v>
      </c>
      <c r="G141" s="10">
        <v>0.65</v>
      </c>
      <c r="H141" s="15">
        <v>52</v>
      </c>
      <c r="I141" s="15">
        <v>41</v>
      </c>
      <c r="J141" s="15">
        <v>34</v>
      </c>
      <c r="K141" s="15">
        <v>119.4</v>
      </c>
    </row>
    <row r="142" spans="1:11" ht="15" customHeight="1" x14ac:dyDescent="0.2">
      <c r="A142" s="9" t="s">
        <v>1193</v>
      </c>
      <c r="B142" s="9" t="s">
        <v>1564</v>
      </c>
      <c r="C142" s="9" t="s">
        <v>236</v>
      </c>
      <c r="D142" s="9" t="s">
        <v>251</v>
      </c>
      <c r="E142" s="9" t="s">
        <v>261</v>
      </c>
      <c r="F142" s="9" t="s">
        <v>287</v>
      </c>
      <c r="G142" s="10">
        <v>0.55000000000000004</v>
      </c>
      <c r="H142" s="15">
        <v>46</v>
      </c>
      <c r="I142" s="15">
        <v>34</v>
      </c>
      <c r="J142" s="15">
        <v>30</v>
      </c>
      <c r="K142" s="15">
        <v>104.3</v>
      </c>
    </row>
    <row r="143" spans="1:11" ht="15" customHeight="1" x14ac:dyDescent="0.2">
      <c r="A143" s="9" t="s">
        <v>1194</v>
      </c>
      <c r="B143" s="9" t="s">
        <v>1564</v>
      </c>
      <c r="C143" s="9" t="s">
        <v>236</v>
      </c>
      <c r="D143" s="9" t="s">
        <v>251</v>
      </c>
      <c r="E143" s="9" t="s">
        <v>260</v>
      </c>
      <c r="F143" s="9" t="s">
        <v>287</v>
      </c>
      <c r="G143" s="10">
        <v>0.55000000000000004</v>
      </c>
      <c r="H143" s="15">
        <v>67</v>
      </c>
      <c r="I143" s="15">
        <v>32</v>
      </c>
      <c r="J143" s="15">
        <v>31</v>
      </c>
      <c r="K143" s="15">
        <v>142.5</v>
      </c>
    </row>
    <row r="144" spans="1:11" ht="15" customHeight="1" x14ac:dyDescent="0.2">
      <c r="A144" s="9" t="s">
        <v>1195</v>
      </c>
      <c r="B144" s="9" t="s">
        <v>1564</v>
      </c>
      <c r="C144" s="9" t="s">
        <v>236</v>
      </c>
      <c r="D144" s="9" t="s">
        <v>251</v>
      </c>
      <c r="E144" s="9" t="s">
        <v>262</v>
      </c>
      <c r="F144" s="9" t="s">
        <v>287</v>
      </c>
      <c r="G144" s="10">
        <v>0.6</v>
      </c>
      <c r="H144" s="15">
        <v>63</v>
      </c>
      <c r="I144" s="15">
        <v>59</v>
      </c>
      <c r="J144" s="15">
        <v>33</v>
      </c>
      <c r="K144" s="15">
        <v>292.7</v>
      </c>
    </row>
    <row r="145" spans="1:11" ht="15" customHeight="1" x14ac:dyDescent="0.2">
      <c r="A145" s="9" t="s">
        <v>1196</v>
      </c>
      <c r="B145" s="9" t="s">
        <v>1564</v>
      </c>
      <c r="C145" s="9" t="s">
        <v>236</v>
      </c>
      <c r="D145" s="9" t="s">
        <v>251</v>
      </c>
      <c r="E145" s="9" t="s">
        <v>261</v>
      </c>
      <c r="F145" s="9" t="s">
        <v>287</v>
      </c>
      <c r="G145" s="10">
        <v>0.7</v>
      </c>
      <c r="H145" s="15">
        <v>76</v>
      </c>
      <c r="I145" s="15">
        <v>56</v>
      </c>
      <c r="J145" s="15">
        <v>40</v>
      </c>
      <c r="K145" s="15">
        <v>176.5</v>
      </c>
    </row>
    <row r="146" spans="1:11" ht="15" customHeight="1" x14ac:dyDescent="0.2">
      <c r="A146" s="9" t="s">
        <v>1582</v>
      </c>
      <c r="B146" s="9" t="s">
        <v>1564</v>
      </c>
      <c r="C146" s="9" t="s">
        <v>236</v>
      </c>
      <c r="D146" s="9" t="s">
        <v>251</v>
      </c>
      <c r="E146" s="9" t="s">
        <v>261</v>
      </c>
      <c r="F146" s="9" t="s">
        <v>287</v>
      </c>
      <c r="G146" s="10">
        <v>0.6</v>
      </c>
      <c r="H146" s="15">
        <v>66</v>
      </c>
      <c r="I146" s="15">
        <v>44</v>
      </c>
      <c r="J146" s="15">
        <v>24</v>
      </c>
      <c r="K146" s="15">
        <v>125.8</v>
      </c>
    </row>
    <row r="147" spans="1:11" ht="15" customHeight="1" x14ac:dyDescent="0.2">
      <c r="A147" s="9" t="s">
        <v>1197</v>
      </c>
      <c r="B147" s="9" t="s">
        <v>1564</v>
      </c>
      <c r="C147" s="9" t="s">
        <v>236</v>
      </c>
      <c r="D147" s="9" t="s">
        <v>251</v>
      </c>
      <c r="E147" s="9" t="s">
        <v>261</v>
      </c>
      <c r="F147" s="9" t="s">
        <v>287</v>
      </c>
      <c r="G147" s="10">
        <v>0.4</v>
      </c>
      <c r="H147" s="15">
        <v>47</v>
      </c>
      <c r="I147" s="15">
        <v>22</v>
      </c>
      <c r="J147" s="15">
        <v>32</v>
      </c>
      <c r="K147" s="15">
        <v>53.5</v>
      </c>
    </row>
    <row r="148" spans="1:11" ht="15" customHeight="1" x14ac:dyDescent="0.2">
      <c r="A148" s="9" t="s">
        <v>1198</v>
      </c>
      <c r="B148" s="9" t="s">
        <v>1564</v>
      </c>
      <c r="C148" s="9" t="s">
        <v>236</v>
      </c>
      <c r="D148" s="9" t="s">
        <v>251</v>
      </c>
      <c r="E148" s="9" t="s">
        <v>260</v>
      </c>
      <c r="F148" s="9" t="s">
        <v>287</v>
      </c>
      <c r="G148" s="10">
        <v>1</v>
      </c>
      <c r="H148" s="15">
        <v>50</v>
      </c>
      <c r="I148" s="15">
        <v>51</v>
      </c>
      <c r="J148" s="15">
        <v>26</v>
      </c>
      <c r="K148" s="15">
        <v>138.5</v>
      </c>
    </row>
    <row r="149" spans="1:11" ht="15" customHeight="1" x14ac:dyDescent="0.2">
      <c r="A149" s="9" t="s">
        <v>1583</v>
      </c>
      <c r="B149" s="9" t="s">
        <v>1564</v>
      </c>
      <c r="C149" s="9" t="s">
        <v>236</v>
      </c>
      <c r="D149" s="9" t="s">
        <v>251</v>
      </c>
      <c r="E149" s="9" t="s">
        <v>708</v>
      </c>
      <c r="F149" s="9" t="s">
        <v>287</v>
      </c>
      <c r="G149" s="10">
        <v>0.55000000000000004</v>
      </c>
      <c r="H149" s="15">
        <v>58</v>
      </c>
      <c r="I149" s="15">
        <v>41</v>
      </c>
      <c r="J149" s="15">
        <v>31</v>
      </c>
      <c r="K149" s="15">
        <v>157.69999999999999</v>
      </c>
    </row>
    <row r="150" spans="1:11" ht="15" customHeight="1" x14ac:dyDescent="0.2">
      <c r="A150" s="9" t="s">
        <v>1199</v>
      </c>
      <c r="B150" s="9" t="s">
        <v>1564</v>
      </c>
      <c r="C150" s="9" t="s">
        <v>236</v>
      </c>
      <c r="D150" s="9" t="s">
        <v>251</v>
      </c>
      <c r="E150" s="9" t="s">
        <v>262</v>
      </c>
      <c r="F150" s="9" t="s">
        <v>287</v>
      </c>
      <c r="G150" s="10">
        <v>0.3</v>
      </c>
      <c r="H150" s="15">
        <v>57</v>
      </c>
      <c r="I150" s="15">
        <v>49</v>
      </c>
      <c r="J150" s="15">
        <v>24</v>
      </c>
      <c r="K150" s="15">
        <v>166.6</v>
      </c>
    </row>
    <row r="151" spans="1:11" ht="15" customHeight="1" x14ac:dyDescent="0.2">
      <c r="A151" s="9" t="s">
        <v>1200</v>
      </c>
      <c r="B151" s="9" t="s">
        <v>1564</v>
      </c>
      <c r="C151" s="9" t="s">
        <v>236</v>
      </c>
      <c r="D151" s="9" t="s">
        <v>251</v>
      </c>
      <c r="E151" s="9" t="s">
        <v>260</v>
      </c>
      <c r="F151" s="9" t="s">
        <v>287</v>
      </c>
      <c r="G151" s="10">
        <v>0.2</v>
      </c>
      <c r="H151" s="15">
        <v>85</v>
      </c>
      <c r="I151" s="15">
        <v>61</v>
      </c>
      <c r="J151" s="15">
        <v>50</v>
      </c>
      <c r="K151" s="15">
        <v>514.6</v>
      </c>
    </row>
    <row r="152" spans="1:11" ht="15" customHeight="1" x14ac:dyDescent="0.2">
      <c r="A152" s="9" t="s">
        <v>1201</v>
      </c>
      <c r="B152" s="9" t="s">
        <v>1564</v>
      </c>
      <c r="C152" s="9" t="s">
        <v>236</v>
      </c>
      <c r="D152" s="9" t="s">
        <v>251</v>
      </c>
      <c r="E152" s="9" t="s">
        <v>261</v>
      </c>
      <c r="F152" s="9" t="s">
        <v>287</v>
      </c>
      <c r="G152" s="10">
        <v>0.35</v>
      </c>
      <c r="H152" s="15">
        <v>55</v>
      </c>
      <c r="I152" s="15">
        <v>50</v>
      </c>
      <c r="J152" s="15">
        <v>37</v>
      </c>
      <c r="K152" s="15">
        <v>186.6</v>
      </c>
    </row>
    <row r="153" spans="1:11" ht="15" customHeight="1" x14ac:dyDescent="0.2">
      <c r="A153" s="9" t="s">
        <v>1584</v>
      </c>
      <c r="B153" s="9" t="s">
        <v>1564</v>
      </c>
      <c r="C153" s="9" t="s">
        <v>236</v>
      </c>
      <c r="D153" s="9" t="s">
        <v>251</v>
      </c>
      <c r="E153" s="9" t="s">
        <v>262</v>
      </c>
      <c r="F153" s="9" t="s">
        <v>287</v>
      </c>
      <c r="G153" s="10">
        <v>0</v>
      </c>
      <c r="H153" s="15">
        <v>55</v>
      </c>
      <c r="I153" s="15">
        <v>47</v>
      </c>
      <c r="J153" s="15">
        <v>33</v>
      </c>
      <c r="K153" s="15">
        <v>177.8</v>
      </c>
    </row>
    <row r="154" spans="1:11" ht="15" customHeight="1" x14ac:dyDescent="0.2">
      <c r="A154" s="9" t="s">
        <v>1202</v>
      </c>
      <c r="B154" s="9" t="s">
        <v>1564</v>
      </c>
      <c r="C154" s="9" t="s">
        <v>236</v>
      </c>
      <c r="D154" s="9" t="s">
        <v>251</v>
      </c>
      <c r="E154" s="9" t="s">
        <v>262</v>
      </c>
      <c r="F154" s="9" t="s">
        <v>287</v>
      </c>
      <c r="G154" s="10">
        <v>0.4</v>
      </c>
      <c r="H154" s="15">
        <v>58</v>
      </c>
      <c r="I154" s="15">
        <v>50</v>
      </c>
      <c r="J154" s="15">
        <v>38</v>
      </c>
      <c r="K154" s="15">
        <v>322.39999999999998</v>
      </c>
    </row>
    <row r="155" spans="1:11" ht="15" customHeight="1" x14ac:dyDescent="0.2">
      <c r="A155" s="9" t="s">
        <v>1203</v>
      </c>
      <c r="B155" s="9" t="s">
        <v>1564</v>
      </c>
      <c r="C155" s="9" t="s">
        <v>236</v>
      </c>
      <c r="D155" s="9" t="s">
        <v>251</v>
      </c>
      <c r="E155" s="9" t="s">
        <v>262</v>
      </c>
      <c r="F155" s="9" t="s">
        <v>287</v>
      </c>
      <c r="G155" s="10">
        <v>0.6</v>
      </c>
      <c r="H155" s="15">
        <v>65</v>
      </c>
      <c r="I155" s="15">
        <v>34</v>
      </c>
      <c r="J155" s="15">
        <v>25</v>
      </c>
      <c r="K155" s="15">
        <v>92.8</v>
      </c>
    </row>
    <row r="156" spans="1:11" ht="15" customHeight="1" x14ac:dyDescent="0.2">
      <c r="A156" s="9" t="s">
        <v>1204</v>
      </c>
      <c r="B156" s="9" t="s">
        <v>1564</v>
      </c>
      <c r="C156" s="9" t="s">
        <v>236</v>
      </c>
      <c r="D156" s="9" t="s">
        <v>251</v>
      </c>
      <c r="E156" s="9" t="s">
        <v>260</v>
      </c>
      <c r="F156" s="9" t="s">
        <v>287</v>
      </c>
      <c r="G156" s="10">
        <v>0.4</v>
      </c>
      <c r="H156" s="15">
        <v>79</v>
      </c>
      <c r="I156" s="15">
        <v>63</v>
      </c>
      <c r="J156" s="15">
        <v>50</v>
      </c>
      <c r="K156" s="15">
        <v>400.2</v>
      </c>
    </row>
    <row r="157" spans="1:11" ht="15" customHeight="1" x14ac:dyDescent="0.2">
      <c r="A157" s="9" t="s">
        <v>1205</v>
      </c>
      <c r="B157" s="9" t="s">
        <v>1564</v>
      </c>
      <c r="C157" s="9" t="s">
        <v>236</v>
      </c>
      <c r="D157" s="9" t="s">
        <v>251</v>
      </c>
      <c r="E157" s="9" t="s">
        <v>262</v>
      </c>
      <c r="F157" s="9" t="s">
        <v>287</v>
      </c>
      <c r="G157" s="10">
        <v>0.4</v>
      </c>
      <c r="H157" s="15">
        <v>66</v>
      </c>
      <c r="I157" s="15">
        <v>22</v>
      </c>
      <c r="J157" s="15">
        <v>41</v>
      </c>
      <c r="K157" s="15">
        <v>166.8</v>
      </c>
    </row>
    <row r="158" spans="1:11" ht="15" customHeight="1" x14ac:dyDescent="0.2">
      <c r="A158" s="9" t="s">
        <v>1206</v>
      </c>
      <c r="B158" s="9" t="s">
        <v>1564</v>
      </c>
      <c r="C158" s="9" t="s">
        <v>236</v>
      </c>
      <c r="D158" s="9" t="s">
        <v>251</v>
      </c>
      <c r="E158" s="9" t="s">
        <v>261</v>
      </c>
      <c r="F158" s="9" t="s">
        <v>287</v>
      </c>
      <c r="G158" s="10">
        <v>0.4</v>
      </c>
      <c r="H158" s="15">
        <v>65</v>
      </c>
      <c r="I158" s="15">
        <v>35</v>
      </c>
      <c r="J158" s="15">
        <v>24</v>
      </c>
      <c r="K158" s="15">
        <v>113</v>
      </c>
    </row>
    <row r="159" spans="1:11" ht="15" customHeight="1" x14ac:dyDescent="0.2">
      <c r="A159" s="9" t="s">
        <v>1207</v>
      </c>
      <c r="B159" s="9" t="s">
        <v>1564</v>
      </c>
      <c r="C159" s="9" t="s">
        <v>236</v>
      </c>
      <c r="D159" s="9" t="s">
        <v>251</v>
      </c>
      <c r="E159" s="9" t="s">
        <v>261</v>
      </c>
      <c r="F159" s="9" t="s">
        <v>287</v>
      </c>
      <c r="G159" s="10">
        <v>0.65</v>
      </c>
      <c r="H159" s="15">
        <v>55</v>
      </c>
      <c r="I159" s="15">
        <v>39</v>
      </c>
      <c r="J159" s="15">
        <v>31</v>
      </c>
      <c r="K159" s="15">
        <v>126.7</v>
      </c>
    </row>
    <row r="160" spans="1:11" ht="15" customHeight="1" x14ac:dyDescent="0.2">
      <c r="A160" s="9" t="s">
        <v>1208</v>
      </c>
      <c r="B160" s="9" t="s">
        <v>1564</v>
      </c>
      <c r="C160" s="9" t="s">
        <v>236</v>
      </c>
      <c r="D160" s="9" t="s">
        <v>251</v>
      </c>
      <c r="E160" s="9" t="s">
        <v>261</v>
      </c>
      <c r="F160" s="9" t="s">
        <v>287</v>
      </c>
      <c r="G160" s="10">
        <v>0.5</v>
      </c>
      <c r="H160" s="15">
        <v>74</v>
      </c>
      <c r="I160" s="15">
        <v>60</v>
      </c>
      <c r="J160" s="15">
        <v>37</v>
      </c>
      <c r="K160" s="15">
        <v>425.9</v>
      </c>
    </row>
    <row r="161" spans="1:11" ht="15" customHeight="1" x14ac:dyDescent="0.2">
      <c r="A161" s="9" t="s">
        <v>1209</v>
      </c>
      <c r="B161" s="9" t="s">
        <v>1564</v>
      </c>
      <c r="C161" s="9" t="s">
        <v>236</v>
      </c>
      <c r="D161" s="9" t="s">
        <v>251</v>
      </c>
      <c r="E161" s="9" t="s">
        <v>262</v>
      </c>
      <c r="F161" s="9" t="s">
        <v>287</v>
      </c>
      <c r="G161" s="10">
        <v>0.4</v>
      </c>
      <c r="H161" s="15">
        <v>74</v>
      </c>
      <c r="I161" s="15">
        <v>51</v>
      </c>
      <c r="J161" s="15">
        <v>9</v>
      </c>
      <c r="K161" s="15">
        <v>35.4</v>
      </c>
    </row>
    <row r="162" spans="1:11" ht="15" customHeight="1" x14ac:dyDescent="0.2">
      <c r="A162" s="9" t="s">
        <v>1210</v>
      </c>
      <c r="B162" s="9" t="s">
        <v>1564</v>
      </c>
      <c r="C162" s="9" t="s">
        <v>236</v>
      </c>
      <c r="D162" s="9" t="s">
        <v>251</v>
      </c>
      <c r="E162" s="9" t="s">
        <v>262</v>
      </c>
      <c r="F162" s="9" t="s">
        <v>287</v>
      </c>
      <c r="G162" s="10">
        <v>0.55000000000000004</v>
      </c>
      <c r="H162" s="15">
        <v>46</v>
      </c>
      <c r="I162" s="15">
        <v>49</v>
      </c>
      <c r="J162" s="15">
        <v>32</v>
      </c>
      <c r="K162" s="15">
        <v>215.4</v>
      </c>
    </row>
    <row r="163" spans="1:11" ht="15" customHeight="1" x14ac:dyDescent="0.2">
      <c r="A163" s="9" t="s">
        <v>1211</v>
      </c>
      <c r="B163" s="9" t="s">
        <v>1564</v>
      </c>
      <c r="C163" s="9" t="s">
        <v>236</v>
      </c>
      <c r="D163" s="9" t="s">
        <v>251</v>
      </c>
      <c r="E163" s="9" t="s">
        <v>261</v>
      </c>
      <c r="F163" s="9" t="s">
        <v>287</v>
      </c>
      <c r="G163" s="10">
        <v>0.4</v>
      </c>
      <c r="H163" s="15">
        <v>49</v>
      </c>
      <c r="I163" s="15">
        <v>44</v>
      </c>
      <c r="J163" s="15">
        <v>17</v>
      </c>
      <c r="K163" s="15">
        <v>89</v>
      </c>
    </row>
    <row r="164" spans="1:11" ht="15" customHeight="1" x14ac:dyDescent="0.2">
      <c r="A164" s="9" t="s">
        <v>1212</v>
      </c>
      <c r="B164" s="9" t="s">
        <v>1564</v>
      </c>
      <c r="C164" s="9" t="s">
        <v>236</v>
      </c>
      <c r="D164" s="9" t="s">
        <v>251</v>
      </c>
      <c r="E164" s="9" t="s">
        <v>261</v>
      </c>
      <c r="F164" s="9" t="s">
        <v>287</v>
      </c>
      <c r="G164" s="10">
        <v>0.9</v>
      </c>
      <c r="H164" s="15">
        <v>78</v>
      </c>
      <c r="I164" s="15">
        <v>58</v>
      </c>
      <c r="J164" s="15">
        <v>30</v>
      </c>
      <c r="K164" s="15">
        <v>267.3</v>
      </c>
    </row>
    <row r="165" spans="1:11" ht="15" customHeight="1" x14ac:dyDescent="0.2">
      <c r="A165" s="9" t="s">
        <v>1213</v>
      </c>
      <c r="B165" s="9" t="s">
        <v>1564</v>
      </c>
      <c r="C165" s="9" t="s">
        <v>236</v>
      </c>
      <c r="D165" s="9" t="s">
        <v>251</v>
      </c>
      <c r="E165" s="9" t="s">
        <v>262</v>
      </c>
      <c r="F165" s="9" t="s">
        <v>287</v>
      </c>
      <c r="G165" s="10">
        <v>0.25</v>
      </c>
      <c r="H165" s="15">
        <v>61</v>
      </c>
      <c r="I165" s="15">
        <v>50</v>
      </c>
      <c r="J165" s="15">
        <v>26</v>
      </c>
      <c r="K165" s="15">
        <v>251.4</v>
      </c>
    </row>
    <row r="166" spans="1:11" ht="15" customHeight="1" x14ac:dyDescent="0.2">
      <c r="A166" s="9" t="s">
        <v>1214</v>
      </c>
      <c r="B166" s="9" t="s">
        <v>1564</v>
      </c>
      <c r="C166" s="9" t="s">
        <v>236</v>
      </c>
      <c r="D166" s="9" t="s">
        <v>251</v>
      </c>
      <c r="E166" s="9" t="s">
        <v>263</v>
      </c>
      <c r="F166" s="9" t="s">
        <v>287</v>
      </c>
      <c r="G166" s="10">
        <v>0.4</v>
      </c>
      <c r="H166" s="15">
        <v>36</v>
      </c>
      <c r="I166" s="15">
        <v>36</v>
      </c>
      <c r="J166" s="15">
        <v>7</v>
      </c>
      <c r="K166" s="15">
        <v>17.5</v>
      </c>
    </row>
    <row r="167" spans="1:11" ht="15" customHeight="1" x14ac:dyDescent="0.2">
      <c r="A167" s="9" t="s">
        <v>1215</v>
      </c>
      <c r="B167" s="9" t="s">
        <v>1564</v>
      </c>
      <c r="C167" s="9" t="s">
        <v>236</v>
      </c>
      <c r="D167" s="9" t="s">
        <v>251</v>
      </c>
      <c r="E167" s="9" t="s">
        <v>261</v>
      </c>
      <c r="F167" s="9" t="s">
        <v>287</v>
      </c>
      <c r="G167" s="10">
        <v>0.4</v>
      </c>
      <c r="H167" s="15">
        <v>60</v>
      </c>
      <c r="I167" s="15">
        <v>44</v>
      </c>
      <c r="J167" s="15">
        <v>37</v>
      </c>
      <c r="K167" s="15">
        <v>240</v>
      </c>
    </row>
    <row r="168" spans="1:11" ht="15" customHeight="1" x14ac:dyDescent="0.2">
      <c r="A168" s="9" t="s">
        <v>1216</v>
      </c>
      <c r="B168" s="9" t="s">
        <v>1564</v>
      </c>
      <c r="C168" s="9" t="s">
        <v>236</v>
      </c>
      <c r="D168" s="9" t="s">
        <v>251</v>
      </c>
      <c r="E168" s="9" t="s">
        <v>261</v>
      </c>
      <c r="F168" s="9" t="s">
        <v>287</v>
      </c>
      <c r="G168" s="10">
        <v>0.3</v>
      </c>
      <c r="H168" s="15">
        <v>76</v>
      </c>
      <c r="I168" s="15">
        <v>55</v>
      </c>
      <c r="J168" s="15">
        <v>41</v>
      </c>
      <c r="K168" s="15">
        <v>388.9</v>
      </c>
    </row>
    <row r="169" spans="1:11" ht="15" customHeight="1" x14ac:dyDescent="0.2">
      <c r="A169" s="9" t="s">
        <v>1217</v>
      </c>
      <c r="B169" s="9" t="s">
        <v>1564</v>
      </c>
      <c r="C169" s="9" t="s">
        <v>236</v>
      </c>
      <c r="D169" s="9" t="s">
        <v>251</v>
      </c>
      <c r="E169" s="9" t="s">
        <v>262</v>
      </c>
      <c r="F169" s="9" t="s">
        <v>287</v>
      </c>
      <c r="G169" s="10">
        <v>0.4</v>
      </c>
      <c r="H169" s="15">
        <v>46</v>
      </c>
      <c r="I169" s="15">
        <v>46</v>
      </c>
      <c r="J169" s="15">
        <v>29</v>
      </c>
      <c r="K169" s="15">
        <v>166.8</v>
      </c>
    </row>
    <row r="170" spans="1:11" ht="15" customHeight="1" x14ac:dyDescent="0.2">
      <c r="A170" s="9" t="s">
        <v>1218</v>
      </c>
      <c r="B170" s="9" t="s">
        <v>1564</v>
      </c>
      <c r="C170" s="9" t="s">
        <v>236</v>
      </c>
      <c r="D170" s="9" t="s">
        <v>251</v>
      </c>
      <c r="E170" s="9" t="s">
        <v>261</v>
      </c>
      <c r="F170" s="9" t="s">
        <v>287</v>
      </c>
      <c r="G170" s="10">
        <v>0.3</v>
      </c>
      <c r="H170" s="15">
        <v>70</v>
      </c>
      <c r="I170" s="15">
        <v>46</v>
      </c>
      <c r="J170" s="15">
        <v>46</v>
      </c>
      <c r="K170" s="15">
        <v>421.8</v>
      </c>
    </row>
    <row r="171" spans="1:11" ht="15" customHeight="1" x14ac:dyDescent="0.2">
      <c r="A171" s="9" t="s">
        <v>1219</v>
      </c>
      <c r="B171" s="9" t="s">
        <v>1564</v>
      </c>
      <c r="C171" s="9" t="s">
        <v>236</v>
      </c>
      <c r="D171" s="9" t="s">
        <v>251</v>
      </c>
      <c r="E171" s="9" t="s">
        <v>261</v>
      </c>
      <c r="F171" s="9" t="s">
        <v>287</v>
      </c>
      <c r="G171" s="10">
        <v>0.1</v>
      </c>
      <c r="H171" s="15">
        <v>54</v>
      </c>
      <c r="I171" s="15">
        <v>44</v>
      </c>
      <c r="J171" s="15">
        <v>39</v>
      </c>
      <c r="K171" s="15">
        <v>200.4</v>
      </c>
    </row>
    <row r="172" spans="1:11" ht="15" customHeight="1" x14ac:dyDescent="0.2">
      <c r="A172" s="9" t="s">
        <v>1220</v>
      </c>
      <c r="B172" s="9" t="s">
        <v>1564</v>
      </c>
      <c r="C172" s="9" t="s">
        <v>236</v>
      </c>
      <c r="D172" s="9" t="s">
        <v>251</v>
      </c>
      <c r="E172" s="9" t="s">
        <v>261</v>
      </c>
      <c r="F172" s="9" t="s">
        <v>287</v>
      </c>
      <c r="G172" s="10">
        <v>0.4</v>
      </c>
      <c r="H172" s="15">
        <v>39</v>
      </c>
      <c r="I172" s="15">
        <v>32</v>
      </c>
      <c r="J172" s="15">
        <v>7</v>
      </c>
      <c r="K172" s="15">
        <v>16.399999999999999</v>
      </c>
    </row>
    <row r="173" spans="1:11" ht="15" customHeight="1" x14ac:dyDescent="0.2">
      <c r="A173" s="9" t="s">
        <v>1221</v>
      </c>
      <c r="B173" s="9" t="s">
        <v>1564</v>
      </c>
      <c r="C173" s="9" t="s">
        <v>236</v>
      </c>
      <c r="D173" s="9" t="s">
        <v>251</v>
      </c>
      <c r="E173" s="9" t="s">
        <v>260</v>
      </c>
      <c r="F173" s="9" t="s">
        <v>287</v>
      </c>
      <c r="G173" s="10">
        <v>0.4</v>
      </c>
      <c r="H173" s="15">
        <v>78</v>
      </c>
      <c r="I173" s="15">
        <v>54</v>
      </c>
      <c r="J173" s="15">
        <v>25</v>
      </c>
      <c r="K173" s="15">
        <v>245.9</v>
      </c>
    </row>
    <row r="174" spans="1:11" ht="15" customHeight="1" x14ac:dyDescent="0.2">
      <c r="A174" s="9" t="s">
        <v>1222</v>
      </c>
      <c r="B174" s="9" t="s">
        <v>1564</v>
      </c>
      <c r="C174" s="9" t="s">
        <v>236</v>
      </c>
      <c r="D174" s="9" t="s">
        <v>251</v>
      </c>
      <c r="E174" s="9" t="s">
        <v>708</v>
      </c>
      <c r="F174" s="9" t="s">
        <v>287</v>
      </c>
      <c r="G174" s="10">
        <v>0.95</v>
      </c>
      <c r="H174" s="15">
        <v>62</v>
      </c>
      <c r="I174" s="15">
        <v>47</v>
      </c>
      <c r="J174" s="15">
        <v>19</v>
      </c>
      <c r="K174" s="15">
        <v>105.4</v>
      </c>
    </row>
    <row r="175" spans="1:11" ht="15" customHeight="1" x14ac:dyDescent="0.2">
      <c r="A175" s="9" t="s">
        <v>1223</v>
      </c>
      <c r="B175" s="9" t="s">
        <v>1564</v>
      </c>
      <c r="C175" s="9" t="s">
        <v>236</v>
      </c>
      <c r="D175" s="9" t="s">
        <v>251</v>
      </c>
      <c r="E175" s="9" t="s">
        <v>262</v>
      </c>
      <c r="F175" s="9" t="s">
        <v>287</v>
      </c>
      <c r="G175" s="10">
        <v>0.3</v>
      </c>
      <c r="H175" s="15">
        <v>46</v>
      </c>
      <c r="I175" s="15">
        <v>65</v>
      </c>
      <c r="J175" s="15">
        <v>45</v>
      </c>
      <c r="K175" s="15">
        <v>415.6</v>
      </c>
    </row>
    <row r="176" spans="1:11" ht="15" customHeight="1" x14ac:dyDescent="0.2">
      <c r="A176" s="9" t="s">
        <v>1224</v>
      </c>
      <c r="B176" s="9" t="s">
        <v>1564</v>
      </c>
      <c r="C176" s="9" t="s">
        <v>236</v>
      </c>
      <c r="D176" s="9" t="s">
        <v>251</v>
      </c>
      <c r="E176" s="9" t="s">
        <v>260</v>
      </c>
      <c r="F176" s="9" t="s">
        <v>287</v>
      </c>
      <c r="G176" s="10">
        <v>0.6</v>
      </c>
      <c r="H176" s="15">
        <v>64</v>
      </c>
      <c r="I176" s="15">
        <v>46</v>
      </c>
      <c r="J176" s="15">
        <v>47</v>
      </c>
      <c r="K176" s="15">
        <v>304.89999999999998</v>
      </c>
    </row>
    <row r="177" spans="1:11" ht="15" customHeight="1" x14ac:dyDescent="0.2">
      <c r="A177" s="9" t="s">
        <v>1225</v>
      </c>
      <c r="B177" s="9" t="s">
        <v>1564</v>
      </c>
      <c r="C177" s="9" t="s">
        <v>236</v>
      </c>
      <c r="D177" s="9" t="s">
        <v>251</v>
      </c>
      <c r="E177" s="9" t="s">
        <v>261</v>
      </c>
      <c r="F177" s="9" t="s">
        <v>287</v>
      </c>
      <c r="G177" s="10">
        <v>0.6</v>
      </c>
      <c r="H177" s="15">
        <v>82</v>
      </c>
      <c r="I177" s="15">
        <v>64</v>
      </c>
      <c r="J177" s="15">
        <v>46</v>
      </c>
      <c r="K177" s="15">
        <v>486</v>
      </c>
    </row>
    <row r="178" spans="1:11" ht="15" customHeight="1" x14ac:dyDescent="0.2">
      <c r="A178" s="9" t="s">
        <v>1226</v>
      </c>
      <c r="B178" s="9" t="s">
        <v>1564</v>
      </c>
      <c r="C178" s="9" t="s">
        <v>236</v>
      </c>
      <c r="D178" s="9" t="s">
        <v>251</v>
      </c>
      <c r="E178" s="9" t="s">
        <v>262</v>
      </c>
      <c r="F178" s="9" t="s">
        <v>287</v>
      </c>
      <c r="G178" s="10">
        <v>0.6</v>
      </c>
      <c r="H178" s="15">
        <v>39</v>
      </c>
      <c r="I178" s="15">
        <v>32</v>
      </c>
      <c r="J178" s="15">
        <v>32</v>
      </c>
      <c r="K178" s="15">
        <v>88.8</v>
      </c>
    </row>
    <row r="179" spans="1:11" ht="15" customHeight="1" x14ac:dyDescent="0.2">
      <c r="A179" s="9" t="s">
        <v>1227</v>
      </c>
      <c r="B179" s="9" t="s">
        <v>1564</v>
      </c>
      <c r="C179" s="9" t="s">
        <v>236</v>
      </c>
      <c r="D179" s="9" t="s">
        <v>251</v>
      </c>
      <c r="E179" s="9" t="s">
        <v>262</v>
      </c>
      <c r="F179" s="9" t="s">
        <v>287</v>
      </c>
      <c r="G179" s="10">
        <v>0.55000000000000004</v>
      </c>
      <c r="H179" s="15">
        <v>60</v>
      </c>
      <c r="I179" s="15">
        <v>49</v>
      </c>
      <c r="J179" s="15">
        <v>38</v>
      </c>
      <c r="K179" s="15">
        <v>188.5</v>
      </c>
    </row>
    <row r="180" spans="1:11" ht="15" customHeight="1" x14ac:dyDescent="0.2">
      <c r="A180" s="9" t="s">
        <v>1228</v>
      </c>
      <c r="B180" s="9" t="s">
        <v>1564</v>
      </c>
      <c r="C180" s="9" t="s">
        <v>236</v>
      </c>
      <c r="D180" s="9" t="s">
        <v>251</v>
      </c>
      <c r="E180" s="9" t="s">
        <v>262</v>
      </c>
      <c r="F180" s="9" t="s">
        <v>287</v>
      </c>
      <c r="G180" s="10">
        <v>0.35</v>
      </c>
      <c r="H180" s="15">
        <v>59</v>
      </c>
      <c r="I180" s="15">
        <v>48</v>
      </c>
      <c r="J180" s="15">
        <v>33</v>
      </c>
      <c r="K180" s="15">
        <v>168.7</v>
      </c>
    </row>
    <row r="181" spans="1:11" ht="15" customHeight="1" x14ac:dyDescent="0.2">
      <c r="A181" s="9" t="s">
        <v>1229</v>
      </c>
      <c r="B181" s="9" t="s">
        <v>1564</v>
      </c>
      <c r="C181" s="9" t="s">
        <v>236</v>
      </c>
      <c r="D181" s="9" t="s">
        <v>251</v>
      </c>
      <c r="E181" s="9" t="s">
        <v>260</v>
      </c>
      <c r="F181" s="9" t="s">
        <v>287</v>
      </c>
      <c r="G181" s="10">
        <v>0.4</v>
      </c>
      <c r="H181" s="15">
        <v>72</v>
      </c>
      <c r="I181" s="15">
        <v>49</v>
      </c>
      <c r="J181" s="15">
        <v>36</v>
      </c>
      <c r="K181" s="15">
        <v>338.9</v>
      </c>
    </row>
    <row r="182" spans="1:11" ht="15" customHeight="1" x14ac:dyDescent="0.2">
      <c r="A182" s="9" t="s">
        <v>1230</v>
      </c>
      <c r="B182" s="9" t="s">
        <v>1564</v>
      </c>
      <c r="C182" s="9" t="s">
        <v>236</v>
      </c>
      <c r="D182" s="9" t="s">
        <v>251</v>
      </c>
      <c r="E182" s="9" t="s">
        <v>262</v>
      </c>
      <c r="F182" s="9" t="s">
        <v>287</v>
      </c>
      <c r="G182" s="10">
        <v>0.6</v>
      </c>
      <c r="H182" s="15">
        <v>39</v>
      </c>
      <c r="I182" s="15">
        <v>25</v>
      </c>
      <c r="J182" s="15">
        <v>34</v>
      </c>
      <c r="K182" s="15">
        <v>63.3</v>
      </c>
    </row>
    <row r="183" spans="1:11" ht="15" customHeight="1" x14ac:dyDescent="0.2">
      <c r="A183" s="9" t="s">
        <v>1231</v>
      </c>
      <c r="B183" s="9" t="s">
        <v>1564</v>
      </c>
      <c r="C183" s="9" t="s">
        <v>236</v>
      </c>
      <c r="D183" s="9" t="s">
        <v>251</v>
      </c>
      <c r="E183" s="9" t="s">
        <v>261</v>
      </c>
      <c r="F183" s="9" t="s">
        <v>287</v>
      </c>
      <c r="G183" s="10">
        <v>0.4</v>
      </c>
      <c r="H183" s="15">
        <v>92</v>
      </c>
      <c r="I183" s="15">
        <v>66</v>
      </c>
      <c r="J183" s="15">
        <v>51</v>
      </c>
      <c r="K183" s="15">
        <v>551.4</v>
      </c>
    </row>
    <row r="184" spans="1:11" ht="15" customHeight="1" x14ac:dyDescent="0.2">
      <c r="A184" s="9" t="s">
        <v>1232</v>
      </c>
      <c r="B184" s="9" t="s">
        <v>1564</v>
      </c>
      <c r="C184" s="9" t="s">
        <v>236</v>
      </c>
      <c r="D184" s="9" t="s">
        <v>251</v>
      </c>
      <c r="E184" s="9" t="s">
        <v>261</v>
      </c>
      <c r="F184" s="9" t="s">
        <v>287</v>
      </c>
      <c r="G184" s="10">
        <v>0.95</v>
      </c>
      <c r="H184" s="15">
        <v>57</v>
      </c>
      <c r="I184" s="15">
        <v>49</v>
      </c>
      <c r="J184" s="15">
        <v>31</v>
      </c>
      <c r="K184" s="15">
        <v>205</v>
      </c>
    </row>
    <row r="185" spans="1:11" ht="15" customHeight="1" x14ac:dyDescent="0.2">
      <c r="A185" s="9" t="s">
        <v>1233</v>
      </c>
      <c r="B185" s="9" t="s">
        <v>1564</v>
      </c>
      <c r="C185" s="9" t="s">
        <v>236</v>
      </c>
      <c r="D185" s="9" t="s">
        <v>251</v>
      </c>
      <c r="E185" s="9" t="s">
        <v>261</v>
      </c>
      <c r="F185" s="9" t="s">
        <v>287</v>
      </c>
      <c r="G185" s="10">
        <v>0.3</v>
      </c>
      <c r="H185" s="15">
        <v>70</v>
      </c>
      <c r="I185" s="15">
        <v>51</v>
      </c>
      <c r="J185" s="15">
        <v>42</v>
      </c>
      <c r="K185" s="15">
        <v>399.1</v>
      </c>
    </row>
    <row r="186" spans="1:11" ht="15" customHeight="1" x14ac:dyDescent="0.2">
      <c r="A186" s="9" t="s">
        <v>1234</v>
      </c>
      <c r="B186" s="9" t="s">
        <v>1564</v>
      </c>
      <c r="C186" s="9" t="s">
        <v>236</v>
      </c>
      <c r="D186" s="9" t="s">
        <v>251</v>
      </c>
      <c r="E186" s="9" t="s">
        <v>262</v>
      </c>
      <c r="F186" s="9" t="s">
        <v>287</v>
      </c>
      <c r="G186" s="10">
        <v>0.8</v>
      </c>
      <c r="H186" s="15">
        <v>57</v>
      </c>
      <c r="I186" s="15">
        <v>43</v>
      </c>
      <c r="J186" s="15">
        <v>36</v>
      </c>
      <c r="K186" s="15">
        <v>215.9</v>
      </c>
    </row>
    <row r="187" spans="1:11" ht="15" customHeight="1" x14ac:dyDescent="0.2">
      <c r="A187" s="9" t="s">
        <v>1235</v>
      </c>
      <c r="B187" s="9" t="s">
        <v>1564</v>
      </c>
      <c r="C187" s="9" t="s">
        <v>236</v>
      </c>
      <c r="D187" s="9" t="s">
        <v>251</v>
      </c>
      <c r="E187" s="9" t="s">
        <v>262</v>
      </c>
      <c r="F187" s="9" t="s">
        <v>287</v>
      </c>
      <c r="G187" s="10">
        <v>0.5</v>
      </c>
      <c r="H187" s="15">
        <v>66</v>
      </c>
      <c r="I187" s="15">
        <v>40</v>
      </c>
      <c r="J187" s="15">
        <v>27</v>
      </c>
      <c r="K187" s="15">
        <v>183.3</v>
      </c>
    </row>
    <row r="188" spans="1:11" ht="15" customHeight="1" x14ac:dyDescent="0.2">
      <c r="A188" s="9" t="s">
        <v>1236</v>
      </c>
      <c r="B188" s="9" t="s">
        <v>1564</v>
      </c>
      <c r="C188" s="9" t="s">
        <v>236</v>
      </c>
      <c r="D188" s="9" t="s">
        <v>251</v>
      </c>
      <c r="E188" s="9" t="s">
        <v>261</v>
      </c>
      <c r="F188" s="9" t="s">
        <v>287</v>
      </c>
      <c r="G188" s="10">
        <v>0.6</v>
      </c>
      <c r="H188" s="15">
        <v>74</v>
      </c>
      <c r="I188" s="15">
        <v>55</v>
      </c>
      <c r="J188" s="15">
        <v>44</v>
      </c>
      <c r="K188" s="15">
        <v>336</v>
      </c>
    </row>
    <row r="189" spans="1:11" ht="15" customHeight="1" x14ac:dyDescent="0.2">
      <c r="A189" s="9" t="s">
        <v>1237</v>
      </c>
      <c r="B189" s="9" t="s">
        <v>1564</v>
      </c>
      <c r="C189" s="9" t="s">
        <v>236</v>
      </c>
      <c r="D189" s="9" t="s">
        <v>251</v>
      </c>
      <c r="E189" s="9" t="s">
        <v>261</v>
      </c>
      <c r="F189" s="9" t="s">
        <v>287</v>
      </c>
      <c r="G189" s="10">
        <v>0.7</v>
      </c>
      <c r="H189" s="15">
        <v>57</v>
      </c>
      <c r="I189" s="15">
        <v>42</v>
      </c>
      <c r="J189" s="15">
        <v>26</v>
      </c>
      <c r="K189" s="15">
        <v>103.6</v>
      </c>
    </row>
    <row r="190" spans="1:11" ht="15" customHeight="1" x14ac:dyDescent="0.2">
      <c r="A190" s="9" t="s">
        <v>1238</v>
      </c>
      <c r="B190" s="9" t="s">
        <v>1564</v>
      </c>
      <c r="C190" s="9" t="s">
        <v>236</v>
      </c>
      <c r="D190" s="9" t="s">
        <v>251</v>
      </c>
      <c r="E190" s="9" t="s">
        <v>262</v>
      </c>
      <c r="F190" s="9" t="s">
        <v>287</v>
      </c>
      <c r="G190" s="10">
        <v>0.2</v>
      </c>
      <c r="H190" s="15">
        <v>45</v>
      </c>
      <c r="I190" s="15">
        <v>35</v>
      </c>
      <c r="J190" s="15">
        <v>26</v>
      </c>
      <c r="K190" s="15">
        <v>115.4</v>
      </c>
    </row>
    <row r="191" spans="1:11" ht="15" customHeight="1" x14ac:dyDescent="0.2">
      <c r="A191" s="9" t="s">
        <v>1239</v>
      </c>
      <c r="B191" s="9" t="s">
        <v>1564</v>
      </c>
      <c r="C191" s="9" t="s">
        <v>236</v>
      </c>
      <c r="D191" s="9" t="s">
        <v>251</v>
      </c>
      <c r="E191" s="9" t="s">
        <v>263</v>
      </c>
      <c r="F191" s="9" t="s">
        <v>287</v>
      </c>
      <c r="G191" s="10">
        <v>0.3</v>
      </c>
      <c r="H191" s="15">
        <v>68</v>
      </c>
      <c r="I191" s="15">
        <v>46</v>
      </c>
      <c r="J191" s="15">
        <v>39</v>
      </c>
      <c r="K191" s="15">
        <v>247.5</v>
      </c>
    </row>
    <row r="192" spans="1:11" ht="15" customHeight="1" x14ac:dyDescent="0.2">
      <c r="A192" s="9" t="s">
        <v>1240</v>
      </c>
      <c r="B192" s="9" t="s">
        <v>1564</v>
      </c>
      <c r="C192" s="9" t="s">
        <v>236</v>
      </c>
      <c r="D192" s="9" t="s">
        <v>251</v>
      </c>
      <c r="E192" s="9" t="s">
        <v>261</v>
      </c>
      <c r="F192" s="9" t="s">
        <v>287</v>
      </c>
      <c r="G192" s="10">
        <v>0.4</v>
      </c>
      <c r="H192" s="15">
        <v>60</v>
      </c>
      <c r="I192" s="15">
        <v>31</v>
      </c>
      <c r="J192" s="15">
        <v>25</v>
      </c>
      <c r="K192" s="15">
        <v>95.6</v>
      </c>
    </row>
    <row r="193" spans="1:11" ht="15" customHeight="1" x14ac:dyDescent="0.2">
      <c r="A193" s="9" t="s">
        <v>1241</v>
      </c>
      <c r="B193" s="9" t="s">
        <v>1564</v>
      </c>
      <c r="C193" s="9" t="s">
        <v>236</v>
      </c>
      <c r="D193" s="9" t="s">
        <v>251</v>
      </c>
      <c r="E193" s="9" t="s">
        <v>261</v>
      </c>
      <c r="F193" s="9" t="s">
        <v>287</v>
      </c>
      <c r="G193" s="10">
        <v>0.55000000000000004</v>
      </c>
      <c r="H193" s="15">
        <v>68</v>
      </c>
      <c r="I193" s="15">
        <v>48</v>
      </c>
      <c r="J193" s="15">
        <v>26</v>
      </c>
      <c r="K193" s="15">
        <v>231.7</v>
      </c>
    </row>
    <row r="194" spans="1:11" ht="15" customHeight="1" x14ac:dyDescent="0.2">
      <c r="A194" s="9" t="s">
        <v>1242</v>
      </c>
      <c r="B194" s="9" t="s">
        <v>1564</v>
      </c>
      <c r="C194" s="9" t="s">
        <v>236</v>
      </c>
      <c r="D194" s="9" t="s">
        <v>251</v>
      </c>
      <c r="E194" s="9" t="s">
        <v>263</v>
      </c>
      <c r="F194" s="9" t="s">
        <v>287</v>
      </c>
      <c r="G194" s="10">
        <v>0.6</v>
      </c>
      <c r="H194" s="15">
        <v>60</v>
      </c>
      <c r="I194" s="15">
        <v>46</v>
      </c>
      <c r="J194" s="15">
        <v>29</v>
      </c>
      <c r="K194" s="15">
        <v>190.2</v>
      </c>
    </row>
    <row r="195" spans="1:11" ht="15" customHeight="1" x14ac:dyDescent="0.2">
      <c r="A195" s="9" t="s">
        <v>1243</v>
      </c>
      <c r="B195" s="9" t="s">
        <v>1564</v>
      </c>
      <c r="C195" s="9" t="s">
        <v>236</v>
      </c>
      <c r="D195" s="9" t="s">
        <v>251</v>
      </c>
      <c r="E195" s="9" t="s">
        <v>261</v>
      </c>
      <c r="F195" s="9" t="s">
        <v>287</v>
      </c>
      <c r="G195" s="10">
        <v>0.25</v>
      </c>
      <c r="H195" s="15">
        <v>55</v>
      </c>
      <c r="I195" s="15">
        <v>34</v>
      </c>
      <c r="J195" s="15">
        <v>40</v>
      </c>
      <c r="K195" s="15">
        <v>174.6</v>
      </c>
    </row>
    <row r="196" spans="1:11" ht="15" customHeight="1" x14ac:dyDescent="0.2">
      <c r="A196" s="9" t="s">
        <v>1244</v>
      </c>
      <c r="B196" s="9" t="s">
        <v>1564</v>
      </c>
      <c r="C196" s="9" t="s">
        <v>236</v>
      </c>
      <c r="D196" s="9" t="s">
        <v>251</v>
      </c>
      <c r="E196" s="9" t="s">
        <v>260</v>
      </c>
      <c r="F196" s="9" t="s">
        <v>287</v>
      </c>
      <c r="G196" s="10">
        <v>0.25</v>
      </c>
      <c r="H196" s="15">
        <v>74</v>
      </c>
      <c r="I196" s="15">
        <v>57</v>
      </c>
      <c r="J196" s="15">
        <v>51</v>
      </c>
      <c r="K196" s="15">
        <v>682.9</v>
      </c>
    </row>
    <row r="197" spans="1:11" ht="15" customHeight="1" x14ac:dyDescent="0.2">
      <c r="A197" s="9" t="s">
        <v>1245</v>
      </c>
      <c r="B197" s="9" t="s">
        <v>1564</v>
      </c>
      <c r="C197" s="9" t="s">
        <v>236</v>
      </c>
      <c r="D197" s="9" t="s">
        <v>251</v>
      </c>
      <c r="E197" s="9" t="s">
        <v>262</v>
      </c>
      <c r="F197" s="9" t="s">
        <v>287</v>
      </c>
      <c r="G197" s="10">
        <v>0.8</v>
      </c>
      <c r="H197" s="15">
        <v>58</v>
      </c>
      <c r="I197" s="15">
        <v>36</v>
      </c>
      <c r="J197" s="15">
        <v>24</v>
      </c>
      <c r="K197" s="15">
        <v>96</v>
      </c>
    </row>
    <row r="198" spans="1:11" ht="15" customHeight="1" x14ac:dyDescent="0.2">
      <c r="A198" s="9" t="s">
        <v>1246</v>
      </c>
      <c r="B198" s="9" t="s">
        <v>1564</v>
      </c>
      <c r="C198" s="9" t="s">
        <v>236</v>
      </c>
      <c r="D198" s="9" t="s">
        <v>251</v>
      </c>
      <c r="E198" s="9" t="s">
        <v>261</v>
      </c>
      <c r="F198" s="9" t="s">
        <v>287</v>
      </c>
      <c r="G198" s="10">
        <v>0.5</v>
      </c>
      <c r="H198" s="15">
        <v>60</v>
      </c>
      <c r="I198" s="15">
        <v>51</v>
      </c>
      <c r="J198" s="15">
        <v>36</v>
      </c>
      <c r="K198" s="15">
        <v>279.89999999999998</v>
      </c>
    </row>
    <row r="199" spans="1:11" ht="15" customHeight="1" x14ac:dyDescent="0.2">
      <c r="A199" s="9" t="s">
        <v>1247</v>
      </c>
      <c r="B199" s="9" t="s">
        <v>1564</v>
      </c>
      <c r="C199" s="9" t="s">
        <v>236</v>
      </c>
      <c r="D199" s="9" t="s">
        <v>251</v>
      </c>
      <c r="E199" s="9" t="s">
        <v>262</v>
      </c>
      <c r="F199" s="9" t="s">
        <v>287</v>
      </c>
      <c r="G199" s="10">
        <v>0.4</v>
      </c>
      <c r="H199" s="15">
        <v>80</v>
      </c>
      <c r="I199" s="15">
        <v>54</v>
      </c>
      <c r="J199" s="15">
        <v>31</v>
      </c>
      <c r="K199" s="15">
        <v>214.3</v>
      </c>
    </row>
    <row r="200" spans="1:11" ht="15" customHeight="1" x14ac:dyDescent="0.2">
      <c r="A200" s="9" t="s">
        <v>1248</v>
      </c>
      <c r="B200" s="9" t="s">
        <v>1564</v>
      </c>
      <c r="C200" s="9" t="s">
        <v>236</v>
      </c>
      <c r="D200" s="9" t="s">
        <v>251</v>
      </c>
      <c r="E200" s="9" t="s">
        <v>261</v>
      </c>
      <c r="F200" s="9" t="s">
        <v>287</v>
      </c>
      <c r="G200" s="10">
        <v>0.45</v>
      </c>
      <c r="H200" s="15">
        <v>75</v>
      </c>
      <c r="I200" s="15">
        <v>56</v>
      </c>
      <c r="J200" s="15">
        <v>42</v>
      </c>
      <c r="K200" s="15">
        <v>398</v>
      </c>
    </row>
    <row r="201" spans="1:11" ht="15" customHeight="1" x14ac:dyDescent="0.2">
      <c r="A201" s="9" t="s">
        <v>1249</v>
      </c>
      <c r="B201" s="9" t="s">
        <v>1564</v>
      </c>
      <c r="C201" s="9" t="s">
        <v>236</v>
      </c>
      <c r="D201" s="9" t="s">
        <v>251</v>
      </c>
      <c r="E201" s="9" t="s">
        <v>262</v>
      </c>
      <c r="F201" s="9" t="s">
        <v>287</v>
      </c>
      <c r="G201" s="10">
        <v>0.6</v>
      </c>
      <c r="H201" s="15">
        <v>68</v>
      </c>
      <c r="I201" s="15">
        <v>56</v>
      </c>
      <c r="J201" s="15">
        <v>41</v>
      </c>
      <c r="K201" s="15">
        <v>442</v>
      </c>
    </row>
    <row r="202" spans="1:11" ht="15" customHeight="1" x14ac:dyDescent="0.2">
      <c r="A202" s="9" t="s">
        <v>1250</v>
      </c>
      <c r="B202" s="9" t="s">
        <v>1564</v>
      </c>
      <c r="C202" s="9" t="s">
        <v>236</v>
      </c>
      <c r="D202" s="9" t="s">
        <v>251</v>
      </c>
      <c r="E202" s="9" t="s">
        <v>262</v>
      </c>
      <c r="F202" s="9" t="s">
        <v>287</v>
      </c>
      <c r="G202" s="10">
        <v>0.9</v>
      </c>
      <c r="H202" s="15">
        <v>58</v>
      </c>
      <c r="I202" s="15">
        <v>51</v>
      </c>
      <c r="J202" s="15">
        <v>30</v>
      </c>
      <c r="K202" s="15">
        <v>209.1</v>
      </c>
    </row>
    <row r="203" spans="1:11" ht="15" customHeight="1" x14ac:dyDescent="0.2">
      <c r="A203" s="9" t="s">
        <v>1251</v>
      </c>
      <c r="B203" s="9" t="s">
        <v>1564</v>
      </c>
      <c r="C203" s="9" t="s">
        <v>236</v>
      </c>
      <c r="D203" s="9" t="s">
        <v>251</v>
      </c>
      <c r="E203" s="9" t="s">
        <v>262</v>
      </c>
      <c r="F203" s="9" t="s">
        <v>287</v>
      </c>
      <c r="G203" s="10">
        <v>0.5</v>
      </c>
      <c r="H203" s="15">
        <v>52</v>
      </c>
      <c r="I203" s="15">
        <v>59</v>
      </c>
      <c r="J203" s="15">
        <v>31</v>
      </c>
      <c r="K203" s="15">
        <v>225.3</v>
      </c>
    </row>
    <row r="204" spans="1:11" ht="15" customHeight="1" x14ac:dyDescent="0.2">
      <c r="A204" s="9" t="s">
        <v>1252</v>
      </c>
      <c r="B204" s="9" t="s">
        <v>1564</v>
      </c>
      <c r="C204" s="9" t="s">
        <v>236</v>
      </c>
      <c r="D204" s="9" t="s">
        <v>251</v>
      </c>
      <c r="E204" s="9" t="s">
        <v>262</v>
      </c>
      <c r="F204" s="9" t="s">
        <v>287</v>
      </c>
      <c r="G204" s="10">
        <v>0.4</v>
      </c>
      <c r="H204" s="15">
        <v>74</v>
      </c>
      <c r="I204" s="15">
        <v>55</v>
      </c>
      <c r="J204" s="15">
        <v>40</v>
      </c>
      <c r="K204" s="15">
        <v>424.6</v>
      </c>
    </row>
    <row r="205" spans="1:11" ht="15" customHeight="1" x14ac:dyDescent="0.2">
      <c r="A205" s="9" t="s">
        <v>1253</v>
      </c>
      <c r="B205" s="9" t="s">
        <v>1564</v>
      </c>
      <c r="C205" s="9" t="s">
        <v>236</v>
      </c>
      <c r="D205" s="9" t="s">
        <v>251</v>
      </c>
      <c r="E205" s="9" t="s">
        <v>261</v>
      </c>
      <c r="F205" s="9" t="s">
        <v>287</v>
      </c>
      <c r="G205" s="10">
        <v>0.55000000000000004</v>
      </c>
      <c r="H205" s="15">
        <v>49</v>
      </c>
      <c r="I205" s="15">
        <v>32</v>
      </c>
      <c r="J205" s="15">
        <v>13</v>
      </c>
      <c r="K205" s="15">
        <v>41</v>
      </c>
    </row>
    <row r="206" spans="1:11" ht="15" customHeight="1" x14ac:dyDescent="0.2">
      <c r="A206" s="9" t="s">
        <v>1254</v>
      </c>
      <c r="B206" s="9" t="s">
        <v>1564</v>
      </c>
      <c r="C206" s="9" t="s">
        <v>236</v>
      </c>
      <c r="D206" s="9" t="s">
        <v>251</v>
      </c>
      <c r="E206" s="9" t="s">
        <v>263</v>
      </c>
      <c r="F206" s="9" t="s">
        <v>287</v>
      </c>
      <c r="G206" s="10">
        <v>0.55000000000000004</v>
      </c>
      <c r="H206" s="15">
        <v>60</v>
      </c>
      <c r="I206" s="15">
        <v>52</v>
      </c>
      <c r="J206" s="15">
        <v>37</v>
      </c>
      <c r="K206" s="15">
        <v>213.4</v>
      </c>
    </row>
    <row r="207" spans="1:11" ht="15" customHeight="1" x14ac:dyDescent="0.2">
      <c r="A207" s="9" t="s">
        <v>1255</v>
      </c>
      <c r="B207" s="9" t="s">
        <v>1564</v>
      </c>
      <c r="C207" s="9" t="s">
        <v>236</v>
      </c>
      <c r="D207" s="9" t="s">
        <v>251</v>
      </c>
      <c r="E207" s="9" t="s">
        <v>262</v>
      </c>
      <c r="F207" s="9" t="s">
        <v>287</v>
      </c>
      <c r="G207" s="10">
        <v>0.6</v>
      </c>
      <c r="H207" s="15">
        <v>70</v>
      </c>
      <c r="I207" s="15">
        <v>56</v>
      </c>
      <c r="J207" s="15">
        <v>28</v>
      </c>
      <c r="K207" s="15">
        <v>195.5</v>
      </c>
    </row>
    <row r="208" spans="1:11" ht="15" customHeight="1" x14ac:dyDescent="0.2">
      <c r="A208" s="9" t="s">
        <v>1256</v>
      </c>
      <c r="B208" s="9" t="s">
        <v>1564</v>
      </c>
      <c r="C208" s="9" t="s">
        <v>236</v>
      </c>
      <c r="D208" s="9" t="s">
        <v>251</v>
      </c>
      <c r="E208" s="9" t="s">
        <v>262</v>
      </c>
      <c r="F208" s="9" t="s">
        <v>287</v>
      </c>
      <c r="G208" s="10">
        <v>0</v>
      </c>
      <c r="H208" s="15">
        <v>66</v>
      </c>
      <c r="I208" s="15">
        <v>40</v>
      </c>
      <c r="J208" s="15">
        <v>18</v>
      </c>
      <c r="K208" s="15">
        <v>71.7</v>
      </c>
    </row>
    <row r="209" spans="1:11" ht="15" customHeight="1" x14ac:dyDescent="0.2">
      <c r="A209" s="9" t="s">
        <v>1257</v>
      </c>
      <c r="B209" s="9" t="s">
        <v>1564</v>
      </c>
      <c r="C209" s="9" t="s">
        <v>236</v>
      </c>
      <c r="D209" s="9" t="s">
        <v>251</v>
      </c>
      <c r="E209" s="9" t="s">
        <v>262</v>
      </c>
      <c r="F209" s="9" t="s">
        <v>287</v>
      </c>
      <c r="G209" s="10">
        <v>0.3</v>
      </c>
      <c r="H209" s="15">
        <v>63</v>
      </c>
      <c r="I209" s="15">
        <v>45</v>
      </c>
      <c r="J209" s="15">
        <v>22</v>
      </c>
      <c r="K209" s="15">
        <v>194.2</v>
      </c>
    </row>
    <row r="210" spans="1:11" ht="15" customHeight="1" x14ac:dyDescent="0.2">
      <c r="A210" s="9" t="s">
        <v>1258</v>
      </c>
      <c r="B210" s="9" t="s">
        <v>1564</v>
      </c>
      <c r="C210" s="9" t="s">
        <v>236</v>
      </c>
      <c r="D210" s="9" t="s">
        <v>251</v>
      </c>
      <c r="E210" s="9" t="s">
        <v>260</v>
      </c>
      <c r="F210" s="9" t="s">
        <v>287</v>
      </c>
      <c r="G210" s="10">
        <v>0</v>
      </c>
      <c r="H210" s="15">
        <v>62</v>
      </c>
      <c r="I210" s="15">
        <v>46</v>
      </c>
      <c r="J210" s="15">
        <v>29</v>
      </c>
      <c r="K210" s="15">
        <v>145.80000000000001</v>
      </c>
    </row>
    <row r="211" spans="1:11" ht="15" customHeight="1" x14ac:dyDescent="0.2">
      <c r="A211" s="9" t="s">
        <v>1259</v>
      </c>
      <c r="B211" s="9" t="s">
        <v>1564</v>
      </c>
      <c r="C211" s="9" t="s">
        <v>236</v>
      </c>
      <c r="D211" s="9" t="s">
        <v>251</v>
      </c>
      <c r="E211" s="9" t="s">
        <v>260</v>
      </c>
      <c r="F211" s="9" t="s">
        <v>287</v>
      </c>
      <c r="G211" s="10">
        <v>0.3</v>
      </c>
      <c r="H211" s="15">
        <v>77</v>
      </c>
      <c r="I211" s="15">
        <v>54</v>
      </c>
      <c r="J211" s="15">
        <v>40</v>
      </c>
      <c r="K211" s="15">
        <v>343.6</v>
      </c>
    </row>
    <row r="212" spans="1:11" ht="15" customHeight="1" x14ac:dyDescent="0.2">
      <c r="A212" s="9" t="s">
        <v>1260</v>
      </c>
      <c r="B212" s="9" t="s">
        <v>1564</v>
      </c>
      <c r="C212" s="9" t="s">
        <v>236</v>
      </c>
      <c r="D212" s="9" t="s">
        <v>251</v>
      </c>
      <c r="E212" s="9" t="s">
        <v>262</v>
      </c>
      <c r="F212" s="9" t="s">
        <v>287</v>
      </c>
      <c r="G212" s="10">
        <v>0.6</v>
      </c>
      <c r="H212" s="15">
        <v>53</v>
      </c>
      <c r="I212" s="15">
        <v>22</v>
      </c>
      <c r="J212" s="15">
        <v>23</v>
      </c>
      <c r="K212" s="15">
        <v>54.9</v>
      </c>
    </row>
    <row r="213" spans="1:11" ht="15" customHeight="1" x14ac:dyDescent="0.2">
      <c r="A213" s="9" t="s">
        <v>1261</v>
      </c>
      <c r="B213" s="9" t="s">
        <v>1564</v>
      </c>
      <c r="C213" s="9" t="s">
        <v>236</v>
      </c>
      <c r="D213" s="9" t="s">
        <v>251</v>
      </c>
      <c r="E213" s="9" t="s">
        <v>262</v>
      </c>
      <c r="F213" s="9" t="s">
        <v>287</v>
      </c>
      <c r="G213" s="10">
        <v>0.4</v>
      </c>
      <c r="H213" s="15">
        <v>81</v>
      </c>
      <c r="I213" s="15">
        <v>53</v>
      </c>
      <c r="J213" s="15">
        <v>33</v>
      </c>
      <c r="K213" s="15">
        <v>321.89999999999998</v>
      </c>
    </row>
    <row r="214" spans="1:11" ht="15" customHeight="1" x14ac:dyDescent="0.2">
      <c r="A214" s="9" t="s">
        <v>1262</v>
      </c>
      <c r="B214" s="9" t="s">
        <v>1564</v>
      </c>
      <c r="C214" s="9" t="s">
        <v>236</v>
      </c>
      <c r="D214" s="9" t="s">
        <v>251</v>
      </c>
      <c r="E214" s="9" t="s">
        <v>260</v>
      </c>
      <c r="F214" s="9" t="s">
        <v>287</v>
      </c>
      <c r="G214" s="10">
        <v>0.6</v>
      </c>
      <c r="H214" s="15">
        <v>33</v>
      </c>
      <c r="I214" s="15">
        <v>34</v>
      </c>
      <c r="J214" s="15">
        <v>13</v>
      </c>
      <c r="K214" s="15">
        <v>36.299999999999997</v>
      </c>
    </row>
    <row r="215" spans="1:11" ht="15" customHeight="1" x14ac:dyDescent="0.2">
      <c r="A215" s="9" t="s">
        <v>1263</v>
      </c>
      <c r="B215" s="9" t="s">
        <v>1564</v>
      </c>
      <c r="C215" s="9" t="s">
        <v>236</v>
      </c>
      <c r="D215" s="9" t="s">
        <v>251</v>
      </c>
      <c r="E215" s="9" t="s">
        <v>262</v>
      </c>
      <c r="F215" s="9" t="s">
        <v>287</v>
      </c>
      <c r="G215" s="10">
        <v>0.65</v>
      </c>
      <c r="H215" s="15">
        <v>61</v>
      </c>
      <c r="I215" s="15">
        <v>64</v>
      </c>
      <c r="J215" s="15">
        <v>46</v>
      </c>
      <c r="K215" s="15">
        <v>450.8</v>
      </c>
    </row>
    <row r="216" spans="1:11" ht="15" customHeight="1" x14ac:dyDescent="0.2">
      <c r="A216" s="9" t="s">
        <v>1264</v>
      </c>
      <c r="B216" s="9" t="s">
        <v>1564</v>
      </c>
      <c r="C216" s="9" t="s">
        <v>236</v>
      </c>
      <c r="D216" s="9" t="s">
        <v>251</v>
      </c>
      <c r="E216" s="9" t="s">
        <v>260</v>
      </c>
      <c r="F216" s="9" t="s">
        <v>287</v>
      </c>
      <c r="G216" s="10">
        <v>0.5</v>
      </c>
      <c r="H216" s="15">
        <v>77</v>
      </c>
      <c r="I216" s="15">
        <v>54</v>
      </c>
      <c r="J216" s="15">
        <v>38</v>
      </c>
      <c r="K216" s="15">
        <v>305.89999999999998</v>
      </c>
    </row>
    <row r="217" spans="1:11" ht="15" customHeight="1" x14ac:dyDescent="0.2">
      <c r="A217" s="9" t="s">
        <v>1265</v>
      </c>
      <c r="B217" s="9" t="s">
        <v>1564</v>
      </c>
      <c r="C217" s="9" t="s">
        <v>236</v>
      </c>
      <c r="D217" s="9" t="s">
        <v>251</v>
      </c>
      <c r="E217" s="9" t="s">
        <v>261</v>
      </c>
      <c r="F217" s="9" t="s">
        <v>287</v>
      </c>
      <c r="G217" s="10">
        <v>0.35</v>
      </c>
      <c r="H217" s="15">
        <v>44</v>
      </c>
      <c r="I217" s="15">
        <v>30</v>
      </c>
      <c r="J217" s="15">
        <v>7</v>
      </c>
      <c r="K217" s="15">
        <v>19.3</v>
      </c>
    </row>
    <row r="218" spans="1:11" ht="15" customHeight="1" x14ac:dyDescent="0.2">
      <c r="A218" s="9" t="s">
        <v>1266</v>
      </c>
      <c r="B218" s="9" t="s">
        <v>1564</v>
      </c>
      <c r="C218" s="9" t="s">
        <v>236</v>
      </c>
      <c r="D218" s="9" t="s">
        <v>251</v>
      </c>
      <c r="E218" s="9" t="s">
        <v>262</v>
      </c>
      <c r="F218" s="9" t="s">
        <v>287</v>
      </c>
      <c r="G218" s="10">
        <v>0.4</v>
      </c>
      <c r="H218" s="15">
        <v>78</v>
      </c>
      <c r="I218" s="15">
        <v>64</v>
      </c>
      <c r="J218" s="15">
        <v>30</v>
      </c>
      <c r="K218" s="15">
        <v>338.8</v>
      </c>
    </row>
    <row r="219" spans="1:11" ht="15" customHeight="1" x14ac:dyDescent="0.2">
      <c r="A219" s="9" t="s">
        <v>1267</v>
      </c>
      <c r="B219" s="9" t="s">
        <v>1564</v>
      </c>
      <c r="C219" s="9" t="s">
        <v>236</v>
      </c>
      <c r="D219" s="9" t="s">
        <v>251</v>
      </c>
      <c r="E219" s="9" t="s">
        <v>262</v>
      </c>
      <c r="F219" s="9" t="s">
        <v>287</v>
      </c>
      <c r="G219" s="10">
        <v>0.6</v>
      </c>
      <c r="H219" s="15">
        <v>46</v>
      </c>
      <c r="I219" s="15">
        <v>29</v>
      </c>
      <c r="J219" s="15">
        <v>7</v>
      </c>
      <c r="K219" s="15">
        <v>19.2</v>
      </c>
    </row>
    <row r="220" spans="1:11" ht="15" customHeight="1" x14ac:dyDescent="0.2">
      <c r="A220" s="9" t="s">
        <v>1268</v>
      </c>
      <c r="B220" s="9" t="s">
        <v>1564</v>
      </c>
      <c r="C220" s="9" t="s">
        <v>236</v>
      </c>
      <c r="D220" s="9" t="s">
        <v>251</v>
      </c>
      <c r="E220" s="9" t="s">
        <v>262</v>
      </c>
      <c r="F220" s="9" t="s">
        <v>287</v>
      </c>
      <c r="G220" s="10">
        <v>0.5</v>
      </c>
      <c r="H220" s="15">
        <v>96</v>
      </c>
      <c r="I220" s="15">
        <v>63</v>
      </c>
      <c r="J220" s="15">
        <v>37</v>
      </c>
      <c r="K220" s="15">
        <v>642.5</v>
      </c>
    </row>
    <row r="221" spans="1:11" ht="15" customHeight="1" x14ac:dyDescent="0.2">
      <c r="A221" s="9" t="s">
        <v>1269</v>
      </c>
      <c r="B221" s="9" t="s">
        <v>1564</v>
      </c>
      <c r="C221" s="9" t="s">
        <v>236</v>
      </c>
      <c r="D221" s="9" t="s">
        <v>251</v>
      </c>
      <c r="E221" s="9" t="s">
        <v>260</v>
      </c>
      <c r="F221" s="9" t="s">
        <v>287</v>
      </c>
      <c r="G221" s="10">
        <v>0.8</v>
      </c>
      <c r="H221" s="15">
        <v>38</v>
      </c>
      <c r="I221" s="15">
        <v>44</v>
      </c>
      <c r="J221" s="15">
        <v>27</v>
      </c>
      <c r="K221" s="15">
        <v>106</v>
      </c>
    </row>
    <row r="222" spans="1:11" ht="15" customHeight="1" x14ac:dyDescent="0.2">
      <c r="A222" s="9" t="s">
        <v>304</v>
      </c>
      <c r="B222" s="9" t="s">
        <v>1565</v>
      </c>
      <c r="C222" s="9" t="s">
        <v>237</v>
      </c>
      <c r="D222" s="9" t="s">
        <v>253</v>
      </c>
      <c r="E222" s="9" t="s">
        <v>261</v>
      </c>
      <c r="F222" s="9" t="s">
        <v>287</v>
      </c>
      <c r="G222" s="10">
        <v>0.4</v>
      </c>
      <c r="H222" s="15">
        <v>60</v>
      </c>
      <c r="I222" s="15">
        <v>40</v>
      </c>
      <c r="J222" s="15">
        <v>25</v>
      </c>
      <c r="K222" s="15">
        <v>64.099999999999994</v>
      </c>
    </row>
    <row r="223" spans="1:11" ht="15" customHeight="1" x14ac:dyDescent="0.2">
      <c r="A223" s="9" t="s">
        <v>305</v>
      </c>
      <c r="B223" s="9" t="s">
        <v>1565</v>
      </c>
      <c r="C223" s="9" t="s">
        <v>237</v>
      </c>
      <c r="D223" s="9" t="s">
        <v>251</v>
      </c>
      <c r="E223" s="9" t="s">
        <v>260</v>
      </c>
      <c r="F223" s="9" t="s">
        <v>287</v>
      </c>
      <c r="G223" s="10">
        <v>0.1</v>
      </c>
      <c r="H223" s="15">
        <v>48</v>
      </c>
      <c r="I223" s="15">
        <v>28</v>
      </c>
      <c r="J223" s="15">
        <v>12</v>
      </c>
      <c r="K223" s="15">
        <v>12.3</v>
      </c>
    </row>
    <row r="224" spans="1:11" ht="15" customHeight="1" x14ac:dyDescent="0.2">
      <c r="A224" s="9" t="s">
        <v>306</v>
      </c>
      <c r="B224" s="9" t="s">
        <v>1565</v>
      </c>
      <c r="C224" s="9" t="s">
        <v>237</v>
      </c>
      <c r="D224" s="9" t="s">
        <v>253</v>
      </c>
      <c r="E224" s="9" t="s">
        <v>261</v>
      </c>
      <c r="F224" s="9" t="s">
        <v>287</v>
      </c>
      <c r="G224" s="10">
        <v>0.35</v>
      </c>
      <c r="H224" s="15">
        <v>60</v>
      </c>
      <c r="I224" s="15">
        <v>54</v>
      </c>
      <c r="J224" s="15">
        <v>31</v>
      </c>
      <c r="K224" s="15">
        <v>112.6</v>
      </c>
    </row>
    <row r="225" spans="1:11" ht="15" customHeight="1" x14ac:dyDescent="0.2">
      <c r="A225" s="9" t="s">
        <v>307</v>
      </c>
      <c r="B225" s="9" t="s">
        <v>1565</v>
      </c>
      <c r="C225" s="9" t="s">
        <v>237</v>
      </c>
      <c r="D225" s="9" t="s">
        <v>251</v>
      </c>
      <c r="E225" s="9" t="s">
        <v>260</v>
      </c>
      <c r="F225" s="9" t="s">
        <v>287</v>
      </c>
      <c r="G225" s="10">
        <v>0.6</v>
      </c>
      <c r="H225" s="15">
        <v>81</v>
      </c>
      <c r="I225" s="15">
        <v>46</v>
      </c>
      <c r="J225" s="15">
        <v>21</v>
      </c>
      <c r="K225" s="15">
        <v>88.7</v>
      </c>
    </row>
    <row r="226" spans="1:11" ht="15" customHeight="1" x14ac:dyDescent="0.2">
      <c r="A226" s="9" t="s">
        <v>308</v>
      </c>
      <c r="B226" s="9" t="s">
        <v>1565</v>
      </c>
      <c r="C226" s="9" t="s">
        <v>237</v>
      </c>
      <c r="D226" s="9" t="s">
        <v>251</v>
      </c>
      <c r="E226" s="9" t="s">
        <v>260</v>
      </c>
      <c r="F226" s="9" t="s">
        <v>287</v>
      </c>
      <c r="G226" s="10">
        <v>0.4</v>
      </c>
      <c r="H226" s="15">
        <v>45</v>
      </c>
      <c r="I226" s="15">
        <v>37</v>
      </c>
      <c r="J226" s="15">
        <v>7</v>
      </c>
      <c r="K226" s="15">
        <v>12.6</v>
      </c>
    </row>
    <row r="227" spans="1:11" ht="15" customHeight="1" x14ac:dyDescent="0.2">
      <c r="A227" s="9" t="s">
        <v>309</v>
      </c>
      <c r="B227" s="9" t="s">
        <v>1565</v>
      </c>
      <c r="C227" s="9" t="s">
        <v>237</v>
      </c>
      <c r="D227" s="9" t="s">
        <v>251</v>
      </c>
      <c r="E227" s="9" t="s">
        <v>261</v>
      </c>
      <c r="F227" s="9" t="s">
        <v>287</v>
      </c>
      <c r="G227" s="10">
        <v>0.3</v>
      </c>
      <c r="H227" s="15">
        <v>69</v>
      </c>
      <c r="I227" s="15">
        <v>46</v>
      </c>
      <c r="J227" s="15">
        <v>25</v>
      </c>
      <c r="K227" s="15">
        <v>90.5</v>
      </c>
    </row>
    <row r="228" spans="1:11" ht="15" customHeight="1" x14ac:dyDescent="0.2">
      <c r="A228" s="9" t="s">
        <v>310</v>
      </c>
      <c r="B228" s="9" t="s">
        <v>1565</v>
      </c>
      <c r="C228" s="9" t="s">
        <v>237</v>
      </c>
      <c r="D228" s="9" t="s">
        <v>251</v>
      </c>
      <c r="E228" s="9" t="s">
        <v>262</v>
      </c>
      <c r="F228" s="9" t="s">
        <v>287</v>
      </c>
      <c r="G228" s="10">
        <v>0.3</v>
      </c>
      <c r="H228" s="15">
        <v>75</v>
      </c>
      <c r="I228" s="15">
        <v>45</v>
      </c>
      <c r="J228" s="15">
        <v>32</v>
      </c>
      <c r="K228" s="15">
        <v>98.7</v>
      </c>
    </row>
    <row r="229" spans="1:11" ht="15" customHeight="1" x14ac:dyDescent="0.2">
      <c r="A229" s="9" t="s">
        <v>311</v>
      </c>
      <c r="B229" s="9" t="s">
        <v>1565</v>
      </c>
      <c r="C229" s="9" t="s">
        <v>237</v>
      </c>
      <c r="D229" s="9" t="s">
        <v>251</v>
      </c>
      <c r="E229" s="9" t="s">
        <v>261</v>
      </c>
      <c r="F229" s="9" t="s">
        <v>287</v>
      </c>
      <c r="G229" s="10">
        <v>0.5</v>
      </c>
      <c r="H229" s="15">
        <v>70</v>
      </c>
      <c r="I229" s="15">
        <v>45</v>
      </c>
      <c r="J229" s="15">
        <v>32</v>
      </c>
      <c r="K229" s="15">
        <v>129.5</v>
      </c>
    </row>
    <row r="230" spans="1:11" ht="15" customHeight="1" x14ac:dyDescent="0.2">
      <c r="A230" s="9" t="s">
        <v>312</v>
      </c>
      <c r="B230" s="9" t="s">
        <v>1565</v>
      </c>
      <c r="C230" s="9" t="s">
        <v>237</v>
      </c>
      <c r="D230" s="9" t="s">
        <v>253</v>
      </c>
      <c r="E230" s="9" t="s">
        <v>261</v>
      </c>
      <c r="F230" s="9" t="s">
        <v>287</v>
      </c>
      <c r="G230" s="10">
        <v>0.4</v>
      </c>
      <c r="H230" s="15">
        <v>104</v>
      </c>
      <c r="I230" s="15">
        <v>56</v>
      </c>
      <c r="J230" s="15">
        <v>42</v>
      </c>
      <c r="K230" s="15">
        <v>301.89999999999998</v>
      </c>
    </row>
    <row r="231" spans="1:11" ht="15" customHeight="1" x14ac:dyDescent="0.2">
      <c r="A231" s="9" t="s">
        <v>313</v>
      </c>
      <c r="B231" s="9" t="s">
        <v>1565</v>
      </c>
      <c r="C231" s="9" t="s">
        <v>237</v>
      </c>
      <c r="D231" s="9" t="s">
        <v>251</v>
      </c>
      <c r="E231" s="9" t="s">
        <v>260</v>
      </c>
      <c r="F231" s="9" t="s">
        <v>287</v>
      </c>
      <c r="G231" s="10">
        <v>0.6</v>
      </c>
      <c r="H231" s="15">
        <v>52</v>
      </c>
      <c r="I231" s="15">
        <v>36</v>
      </c>
      <c r="J231" s="15">
        <v>21</v>
      </c>
      <c r="K231" s="15">
        <v>35</v>
      </c>
    </row>
    <row r="232" spans="1:11" ht="15" customHeight="1" x14ac:dyDescent="0.2">
      <c r="A232" s="9" t="s">
        <v>314</v>
      </c>
      <c r="B232" s="9" t="s">
        <v>1565</v>
      </c>
      <c r="C232" s="9" t="s">
        <v>250</v>
      </c>
      <c r="D232" s="9" t="s">
        <v>251</v>
      </c>
      <c r="E232" s="9" t="s">
        <v>261</v>
      </c>
      <c r="F232" s="9" t="s">
        <v>287</v>
      </c>
      <c r="G232" s="10">
        <v>0.4</v>
      </c>
      <c r="H232" s="15">
        <v>102</v>
      </c>
      <c r="I232" s="15">
        <v>92</v>
      </c>
      <c r="J232" s="15">
        <v>44</v>
      </c>
      <c r="K232" s="15">
        <v>394.8</v>
      </c>
    </row>
    <row r="233" spans="1:11" ht="15" customHeight="1" x14ac:dyDescent="0.2">
      <c r="A233" s="9" t="s">
        <v>315</v>
      </c>
      <c r="B233" s="9" t="s">
        <v>1565</v>
      </c>
      <c r="C233" s="9" t="s">
        <v>250</v>
      </c>
      <c r="D233" s="9" t="s">
        <v>258</v>
      </c>
      <c r="E233" s="9" t="s">
        <v>261</v>
      </c>
      <c r="F233" s="9" t="s">
        <v>287</v>
      </c>
      <c r="G233" s="10">
        <v>0.7</v>
      </c>
      <c r="H233" s="15">
        <v>80</v>
      </c>
      <c r="I233" s="15">
        <v>55</v>
      </c>
      <c r="J233" s="15">
        <v>31</v>
      </c>
      <c r="K233" s="15">
        <v>145.5</v>
      </c>
    </row>
    <row r="234" spans="1:11" ht="15" customHeight="1" x14ac:dyDescent="0.2">
      <c r="A234" s="9" t="s">
        <v>591</v>
      </c>
      <c r="B234" s="9" t="s">
        <v>1565</v>
      </c>
      <c r="C234" s="9" t="s">
        <v>237</v>
      </c>
      <c r="D234" s="9" t="s">
        <v>251</v>
      </c>
      <c r="E234" s="9" t="s">
        <v>260</v>
      </c>
      <c r="F234" s="9" t="s">
        <v>287</v>
      </c>
      <c r="G234" s="10">
        <v>0.1</v>
      </c>
      <c r="H234" s="15">
        <v>38</v>
      </c>
      <c r="I234" s="15">
        <v>37</v>
      </c>
      <c r="J234" s="15">
        <v>15</v>
      </c>
      <c r="K234" s="15">
        <v>18</v>
      </c>
    </row>
    <row r="235" spans="1:11" ht="15" customHeight="1" x14ac:dyDescent="0.2">
      <c r="A235" s="9" t="s">
        <v>592</v>
      </c>
      <c r="B235" s="9" t="s">
        <v>1565</v>
      </c>
      <c r="C235" s="9" t="s">
        <v>250</v>
      </c>
      <c r="D235" s="9" t="s">
        <v>253</v>
      </c>
      <c r="E235" s="9" t="s">
        <v>261</v>
      </c>
      <c r="F235" s="9" t="s">
        <v>287</v>
      </c>
      <c r="G235" s="10">
        <v>0.35</v>
      </c>
      <c r="H235" s="15">
        <v>60</v>
      </c>
      <c r="I235" s="15">
        <v>45</v>
      </c>
      <c r="J235" s="15">
        <v>27</v>
      </c>
      <c r="K235" s="15">
        <v>73</v>
      </c>
    </row>
    <row r="236" spans="1:11" ht="15" customHeight="1" x14ac:dyDescent="0.2">
      <c r="A236" t="s">
        <v>974</v>
      </c>
      <c r="B236" s="9" t="s">
        <v>1565</v>
      </c>
      <c r="C236" s="9" t="s">
        <v>237</v>
      </c>
      <c r="D236" s="9" t="s">
        <v>251</v>
      </c>
      <c r="E236" s="9" t="s">
        <v>262</v>
      </c>
      <c r="F236" s="9" t="s">
        <v>287</v>
      </c>
      <c r="G236" s="10">
        <v>0.2</v>
      </c>
      <c r="H236" s="15">
        <v>68</v>
      </c>
      <c r="I236" s="15">
        <v>56</v>
      </c>
      <c r="J236" s="15">
        <v>43</v>
      </c>
      <c r="K236" s="15">
        <v>350.5</v>
      </c>
    </row>
    <row r="237" spans="1:11" ht="15" customHeight="1" x14ac:dyDescent="0.2">
      <c r="A237" s="9" t="s">
        <v>1273</v>
      </c>
      <c r="B237" s="9" t="s">
        <v>1565</v>
      </c>
      <c r="C237" s="9" t="s">
        <v>237</v>
      </c>
      <c r="D237" s="9" t="s">
        <v>251</v>
      </c>
      <c r="E237" s="9" t="s">
        <v>262</v>
      </c>
      <c r="F237" s="9" t="s">
        <v>287</v>
      </c>
      <c r="G237" s="10">
        <v>0.6</v>
      </c>
      <c r="H237" s="15">
        <v>65</v>
      </c>
      <c r="I237" s="15">
        <v>51</v>
      </c>
      <c r="J237" s="15">
        <v>29</v>
      </c>
      <c r="K237" s="15">
        <v>235.9</v>
      </c>
    </row>
    <row r="238" spans="1:11" ht="15" customHeight="1" x14ac:dyDescent="0.2">
      <c r="A238" s="9" t="s">
        <v>1274</v>
      </c>
      <c r="B238" s="9" t="s">
        <v>1565</v>
      </c>
      <c r="C238" s="9" t="s">
        <v>237</v>
      </c>
      <c r="D238" s="9" t="s">
        <v>251</v>
      </c>
      <c r="E238" s="9" t="s">
        <v>261</v>
      </c>
      <c r="F238" s="9" t="s">
        <v>287</v>
      </c>
      <c r="G238" s="10">
        <v>0.45</v>
      </c>
      <c r="H238" s="15">
        <v>50</v>
      </c>
      <c r="I238" s="15">
        <v>47</v>
      </c>
      <c r="J238" s="15">
        <v>31</v>
      </c>
      <c r="K238" s="15">
        <v>176.5</v>
      </c>
    </row>
    <row r="239" spans="1:11" ht="15" customHeight="1" x14ac:dyDescent="0.2">
      <c r="A239" s="9" t="s">
        <v>1275</v>
      </c>
      <c r="B239" s="9" t="s">
        <v>1565</v>
      </c>
      <c r="C239" s="9" t="s">
        <v>237</v>
      </c>
      <c r="D239" s="9" t="s">
        <v>251</v>
      </c>
      <c r="E239" s="9" t="s">
        <v>261</v>
      </c>
      <c r="F239" s="9" t="s">
        <v>287</v>
      </c>
      <c r="G239" s="10">
        <v>0.6</v>
      </c>
      <c r="H239" s="15">
        <v>67</v>
      </c>
      <c r="I239" s="15">
        <v>42</v>
      </c>
      <c r="J239" s="15">
        <v>30</v>
      </c>
      <c r="K239" s="15">
        <v>154.30000000000001</v>
      </c>
    </row>
    <row r="240" spans="1:11" ht="15" customHeight="1" x14ac:dyDescent="0.2">
      <c r="A240" s="9" t="s">
        <v>1276</v>
      </c>
      <c r="B240" s="9" t="s">
        <v>1565</v>
      </c>
      <c r="C240" s="9" t="s">
        <v>237</v>
      </c>
      <c r="D240" s="9" t="s">
        <v>251</v>
      </c>
      <c r="E240" s="9" t="s">
        <v>261</v>
      </c>
      <c r="F240" s="9" t="s">
        <v>287</v>
      </c>
      <c r="G240" s="10">
        <v>0.15</v>
      </c>
      <c r="H240" s="15">
        <v>74</v>
      </c>
      <c r="I240" s="15">
        <v>58</v>
      </c>
      <c r="J240" s="15">
        <v>55</v>
      </c>
      <c r="K240" s="15">
        <v>524.29999999999995</v>
      </c>
    </row>
    <row r="241" spans="1:11" ht="15" customHeight="1" x14ac:dyDescent="0.2">
      <c r="A241" s="9" t="s">
        <v>1277</v>
      </c>
      <c r="B241" s="9" t="s">
        <v>1565</v>
      </c>
      <c r="C241" s="9" t="s">
        <v>237</v>
      </c>
      <c r="D241" s="9" t="s">
        <v>251</v>
      </c>
      <c r="E241" s="9" t="s">
        <v>262</v>
      </c>
      <c r="F241" s="9" t="s">
        <v>287</v>
      </c>
      <c r="G241" s="10">
        <v>0</v>
      </c>
      <c r="H241" s="15">
        <v>58</v>
      </c>
      <c r="I241" s="15">
        <v>39</v>
      </c>
      <c r="J241" s="15">
        <v>39</v>
      </c>
      <c r="K241" s="15">
        <v>150.19999999999999</v>
      </c>
    </row>
    <row r="242" spans="1:11" ht="15" customHeight="1" x14ac:dyDescent="0.2">
      <c r="A242" s="9" t="s">
        <v>1278</v>
      </c>
      <c r="B242" s="9" t="s">
        <v>1565</v>
      </c>
      <c r="C242" s="9" t="s">
        <v>237</v>
      </c>
      <c r="D242" s="9" t="s">
        <v>251</v>
      </c>
      <c r="E242" s="9" t="s">
        <v>261</v>
      </c>
      <c r="F242" s="9" t="s">
        <v>287</v>
      </c>
      <c r="G242" s="10">
        <v>0.6</v>
      </c>
      <c r="H242" s="15">
        <v>70</v>
      </c>
      <c r="I242" s="15">
        <v>44</v>
      </c>
      <c r="J242" s="15">
        <v>24</v>
      </c>
      <c r="K242" s="15">
        <v>170.8</v>
      </c>
    </row>
    <row r="243" spans="1:11" ht="15" customHeight="1" x14ac:dyDescent="0.2">
      <c r="A243" s="9" t="s">
        <v>1048</v>
      </c>
      <c r="B243" s="9" t="s">
        <v>1565</v>
      </c>
      <c r="C243" s="9" t="s">
        <v>237</v>
      </c>
      <c r="D243" s="9" t="s">
        <v>251</v>
      </c>
      <c r="E243" s="9" t="s">
        <v>261</v>
      </c>
      <c r="F243" s="9" t="s">
        <v>287</v>
      </c>
      <c r="G243" s="10">
        <v>0.45</v>
      </c>
      <c r="H243" s="15">
        <v>46</v>
      </c>
      <c r="I243" s="15">
        <v>24</v>
      </c>
      <c r="J243" s="15">
        <v>7</v>
      </c>
      <c r="K243" s="15">
        <v>14.8</v>
      </c>
    </row>
    <row r="244" spans="1:11" ht="15" customHeight="1" x14ac:dyDescent="0.2">
      <c r="A244" s="9" t="s">
        <v>1279</v>
      </c>
      <c r="B244" s="9" t="s">
        <v>1565</v>
      </c>
      <c r="C244" s="9" t="s">
        <v>237</v>
      </c>
      <c r="D244" s="9" t="s">
        <v>251</v>
      </c>
      <c r="E244" s="9" t="s">
        <v>262</v>
      </c>
      <c r="F244" s="9" t="s">
        <v>287</v>
      </c>
      <c r="G244" s="10">
        <v>0.3</v>
      </c>
      <c r="H244" s="15">
        <v>57</v>
      </c>
      <c r="I244" s="15">
        <v>30</v>
      </c>
      <c r="J244" s="15">
        <v>25</v>
      </c>
      <c r="K244" s="15">
        <v>83.6</v>
      </c>
    </row>
    <row r="245" spans="1:11" ht="15" customHeight="1" x14ac:dyDescent="0.2">
      <c r="A245" s="9" t="s">
        <v>1280</v>
      </c>
      <c r="B245" s="9" t="s">
        <v>1565</v>
      </c>
      <c r="C245" s="9" t="s">
        <v>237</v>
      </c>
      <c r="D245" s="9" t="s">
        <v>251</v>
      </c>
      <c r="E245" s="9" t="s">
        <v>261</v>
      </c>
      <c r="F245" s="9" t="s">
        <v>287</v>
      </c>
      <c r="G245" s="10">
        <v>0.4</v>
      </c>
      <c r="H245" s="15">
        <v>84</v>
      </c>
      <c r="I245" s="15">
        <v>51</v>
      </c>
      <c r="J245" s="15">
        <v>40</v>
      </c>
      <c r="K245" s="15">
        <v>409.4</v>
      </c>
    </row>
    <row r="246" spans="1:11" ht="15" customHeight="1" x14ac:dyDescent="0.2">
      <c r="A246" s="9" t="s">
        <v>1281</v>
      </c>
      <c r="B246" s="9" t="s">
        <v>1565</v>
      </c>
      <c r="C246" s="9" t="s">
        <v>237</v>
      </c>
      <c r="D246" s="9" t="s">
        <v>251</v>
      </c>
      <c r="E246" s="9" t="s">
        <v>261</v>
      </c>
      <c r="F246" s="9" t="s">
        <v>287</v>
      </c>
      <c r="G246" s="10">
        <v>0.5</v>
      </c>
      <c r="H246" s="15">
        <v>80</v>
      </c>
      <c r="I246" s="15">
        <v>82</v>
      </c>
      <c r="J246" s="15">
        <v>44</v>
      </c>
      <c r="K246" s="15">
        <v>537</v>
      </c>
    </row>
    <row r="247" spans="1:11" ht="15" customHeight="1" x14ac:dyDescent="0.2">
      <c r="A247" s="9" t="s">
        <v>1282</v>
      </c>
      <c r="B247" s="9" t="s">
        <v>1565</v>
      </c>
      <c r="C247" s="9" t="s">
        <v>250</v>
      </c>
      <c r="D247" s="9" t="s">
        <v>251</v>
      </c>
      <c r="E247" s="9" t="s">
        <v>261</v>
      </c>
      <c r="F247" s="9" t="s">
        <v>287</v>
      </c>
      <c r="G247" s="10">
        <v>0.4</v>
      </c>
      <c r="H247" s="15">
        <v>75</v>
      </c>
      <c r="I247" s="15">
        <v>41</v>
      </c>
      <c r="J247" s="15">
        <v>36</v>
      </c>
      <c r="K247" s="15">
        <v>238.9</v>
      </c>
    </row>
    <row r="248" spans="1:11" ht="15" customHeight="1" x14ac:dyDescent="0.2">
      <c r="A248" s="9" t="s">
        <v>1283</v>
      </c>
      <c r="B248" s="9" t="s">
        <v>1565</v>
      </c>
      <c r="C248" s="9" t="s">
        <v>250</v>
      </c>
      <c r="D248" s="9" t="s">
        <v>251</v>
      </c>
      <c r="E248" s="9" t="s">
        <v>261</v>
      </c>
      <c r="F248" s="9" t="s">
        <v>287</v>
      </c>
      <c r="G248" s="10">
        <v>0.4</v>
      </c>
      <c r="H248" s="15">
        <v>71</v>
      </c>
      <c r="I248" s="15">
        <v>51</v>
      </c>
      <c r="J248" s="15">
        <v>15</v>
      </c>
      <c r="K248" s="15">
        <v>123.5</v>
      </c>
    </row>
    <row r="249" spans="1:11" ht="15" customHeight="1" x14ac:dyDescent="0.2">
      <c r="A249" s="9" t="s">
        <v>1284</v>
      </c>
      <c r="B249" s="9" t="s">
        <v>1565</v>
      </c>
      <c r="C249" s="9" t="s">
        <v>250</v>
      </c>
      <c r="D249" s="9" t="s">
        <v>251</v>
      </c>
      <c r="E249" s="9" t="s">
        <v>261</v>
      </c>
      <c r="F249" s="9" t="s">
        <v>287</v>
      </c>
      <c r="G249" s="10">
        <v>0.3</v>
      </c>
      <c r="H249" s="15">
        <v>89</v>
      </c>
      <c r="I249" s="15">
        <v>65</v>
      </c>
      <c r="J249" s="15">
        <v>47</v>
      </c>
      <c r="K249" s="15">
        <v>794.2</v>
      </c>
    </row>
    <row r="250" spans="1:11" ht="15" customHeight="1" x14ac:dyDescent="0.2">
      <c r="A250" s="9" t="s">
        <v>1285</v>
      </c>
      <c r="B250" s="9" t="s">
        <v>1565</v>
      </c>
      <c r="C250" s="9" t="s">
        <v>250</v>
      </c>
      <c r="D250" s="9" t="s">
        <v>251</v>
      </c>
      <c r="E250" s="9" t="s">
        <v>261</v>
      </c>
      <c r="F250" s="9" t="s">
        <v>287</v>
      </c>
      <c r="G250" s="10">
        <v>0.7</v>
      </c>
      <c r="H250" s="15">
        <v>54</v>
      </c>
      <c r="I250" s="15">
        <v>56</v>
      </c>
      <c r="J250" s="15">
        <v>42</v>
      </c>
      <c r="K250" s="15">
        <v>285.2</v>
      </c>
    </row>
    <row r="251" spans="1:11" ht="15" customHeight="1" x14ac:dyDescent="0.2">
      <c r="A251" s="9" t="s">
        <v>1286</v>
      </c>
      <c r="B251" s="9" t="s">
        <v>1565</v>
      </c>
      <c r="C251" s="9" t="s">
        <v>250</v>
      </c>
      <c r="D251" s="9" t="s">
        <v>251</v>
      </c>
      <c r="E251" s="9" t="s">
        <v>262</v>
      </c>
      <c r="F251" s="9" t="s">
        <v>287</v>
      </c>
      <c r="G251" s="10">
        <v>0.6</v>
      </c>
      <c r="H251" s="15">
        <v>87</v>
      </c>
      <c r="I251" s="15">
        <v>58</v>
      </c>
      <c r="J251" s="15">
        <v>40</v>
      </c>
      <c r="K251" s="15">
        <v>693.1</v>
      </c>
    </row>
    <row r="252" spans="1:11" ht="15" customHeight="1" x14ac:dyDescent="0.2">
      <c r="A252" s="9" t="s">
        <v>1287</v>
      </c>
      <c r="B252" s="9" t="s">
        <v>1565</v>
      </c>
      <c r="C252" s="9" t="s">
        <v>250</v>
      </c>
      <c r="D252" s="9" t="s">
        <v>251</v>
      </c>
      <c r="E252" s="9" t="s">
        <v>260</v>
      </c>
      <c r="F252" s="9" t="s">
        <v>287</v>
      </c>
      <c r="G252" s="10">
        <v>0.4</v>
      </c>
      <c r="H252" s="15">
        <v>74</v>
      </c>
      <c r="I252" s="15">
        <v>66</v>
      </c>
      <c r="J252" s="15">
        <v>37</v>
      </c>
      <c r="K252" s="15">
        <v>430.2</v>
      </c>
    </row>
    <row r="253" spans="1:11" ht="15" customHeight="1" x14ac:dyDescent="0.2">
      <c r="A253" s="9" t="s">
        <v>1288</v>
      </c>
      <c r="B253" s="9" t="s">
        <v>1565</v>
      </c>
      <c r="C253" s="9" t="s">
        <v>250</v>
      </c>
      <c r="D253" s="9" t="s">
        <v>251</v>
      </c>
      <c r="E253" s="9" t="s">
        <v>261</v>
      </c>
      <c r="F253" s="9" t="s">
        <v>287</v>
      </c>
      <c r="G253" s="10">
        <v>1</v>
      </c>
      <c r="H253" s="15">
        <v>70</v>
      </c>
      <c r="I253" s="15">
        <v>52</v>
      </c>
      <c r="J253" s="15">
        <v>22</v>
      </c>
      <c r="K253" s="15">
        <v>125.4</v>
      </c>
    </row>
    <row r="254" spans="1:11" ht="15" customHeight="1" x14ac:dyDescent="0.2">
      <c r="A254" s="9" t="s">
        <v>1289</v>
      </c>
      <c r="B254" s="9" t="s">
        <v>1565</v>
      </c>
      <c r="C254" s="9" t="s">
        <v>250</v>
      </c>
      <c r="D254" s="9" t="s">
        <v>251</v>
      </c>
      <c r="E254" s="9" t="s">
        <v>262</v>
      </c>
      <c r="F254" s="9" t="s">
        <v>287</v>
      </c>
      <c r="G254" s="10">
        <v>0.55000000000000004</v>
      </c>
      <c r="H254" s="15">
        <v>54</v>
      </c>
      <c r="I254" s="15">
        <v>50</v>
      </c>
      <c r="J254" s="15">
        <v>26</v>
      </c>
      <c r="K254" s="15">
        <v>172.8</v>
      </c>
    </row>
    <row r="255" spans="1:11" ht="15" customHeight="1" x14ac:dyDescent="0.2">
      <c r="A255" s="9" t="s">
        <v>1290</v>
      </c>
      <c r="B255" s="9" t="s">
        <v>1565</v>
      </c>
      <c r="C255" s="9" t="s">
        <v>250</v>
      </c>
      <c r="D255" s="9" t="s">
        <v>251</v>
      </c>
      <c r="E255" s="9" t="s">
        <v>261</v>
      </c>
      <c r="F255" s="9" t="s">
        <v>287</v>
      </c>
      <c r="G255" s="10">
        <v>0.25</v>
      </c>
      <c r="H255" s="15">
        <v>60</v>
      </c>
      <c r="I255" s="15">
        <v>56</v>
      </c>
      <c r="J255" s="15">
        <v>35</v>
      </c>
      <c r="K255" s="15">
        <v>270.8</v>
      </c>
    </row>
    <row r="256" spans="1:11" ht="15" customHeight="1" x14ac:dyDescent="0.2">
      <c r="A256" s="9" t="s">
        <v>1291</v>
      </c>
      <c r="B256" s="9" t="s">
        <v>1565</v>
      </c>
      <c r="C256" s="9" t="s">
        <v>250</v>
      </c>
      <c r="D256" s="9" t="s">
        <v>251</v>
      </c>
      <c r="E256" s="9" t="s">
        <v>262</v>
      </c>
      <c r="F256" s="9" t="s">
        <v>287</v>
      </c>
      <c r="G256" s="10">
        <v>0.3</v>
      </c>
      <c r="H256" s="15">
        <v>93</v>
      </c>
      <c r="I256" s="15">
        <v>55</v>
      </c>
      <c r="J256" s="15">
        <v>30</v>
      </c>
      <c r="K256" s="15">
        <v>416.1</v>
      </c>
    </row>
    <row r="257" spans="1:11" ht="15" customHeight="1" x14ac:dyDescent="0.2">
      <c r="A257" s="9" t="s">
        <v>593</v>
      </c>
      <c r="B257" s="9" t="s">
        <v>1566</v>
      </c>
      <c r="C257" s="9" t="s">
        <v>694</v>
      </c>
      <c r="D257" s="9" t="s">
        <v>251</v>
      </c>
      <c r="E257" s="9" t="s">
        <v>260</v>
      </c>
      <c r="F257" s="9" t="s">
        <v>287</v>
      </c>
      <c r="G257" s="10">
        <v>0.55000000000000004</v>
      </c>
      <c r="H257" s="15">
        <v>62</v>
      </c>
      <c r="I257" s="15">
        <v>47</v>
      </c>
      <c r="J257" s="15">
        <v>39</v>
      </c>
      <c r="K257" s="15">
        <v>150.9</v>
      </c>
    </row>
    <row r="258" spans="1:11" ht="15" customHeight="1" x14ac:dyDescent="0.2">
      <c r="A258" s="9" t="s">
        <v>1292</v>
      </c>
      <c r="B258" s="9" t="s">
        <v>1566</v>
      </c>
      <c r="C258" s="9" t="s">
        <v>694</v>
      </c>
      <c r="D258" s="9" t="s">
        <v>251</v>
      </c>
      <c r="E258" s="9" t="s">
        <v>262</v>
      </c>
      <c r="F258" s="9" t="s">
        <v>287</v>
      </c>
      <c r="G258" s="10">
        <v>0.6</v>
      </c>
      <c r="H258" s="15">
        <v>76</v>
      </c>
      <c r="I258" s="15">
        <v>56</v>
      </c>
      <c r="J258" s="15">
        <v>35</v>
      </c>
      <c r="K258" s="15">
        <v>361.5</v>
      </c>
    </row>
    <row r="259" spans="1:11" ht="15" customHeight="1" x14ac:dyDescent="0.2">
      <c r="A259" s="9" t="s">
        <v>1293</v>
      </c>
      <c r="B259" s="9" t="s">
        <v>1566</v>
      </c>
      <c r="C259" s="9" t="s">
        <v>694</v>
      </c>
      <c r="D259" s="9" t="s">
        <v>251</v>
      </c>
      <c r="E259" s="9" t="s">
        <v>262</v>
      </c>
      <c r="F259" s="9" t="s">
        <v>287</v>
      </c>
      <c r="G259" s="10">
        <v>0.4</v>
      </c>
      <c r="H259" s="15">
        <v>73</v>
      </c>
      <c r="I259" s="15">
        <v>45</v>
      </c>
      <c r="J259" s="15">
        <v>33</v>
      </c>
      <c r="K259" s="15">
        <v>227.3</v>
      </c>
    </row>
    <row r="260" spans="1:11" ht="15" customHeight="1" x14ac:dyDescent="0.2">
      <c r="A260" s="9" t="s">
        <v>1294</v>
      </c>
      <c r="B260" s="9" t="s">
        <v>1566</v>
      </c>
      <c r="C260" s="9" t="s">
        <v>694</v>
      </c>
      <c r="D260" s="9" t="s">
        <v>251</v>
      </c>
      <c r="E260" s="9" t="s">
        <v>262</v>
      </c>
      <c r="F260" s="9" t="s">
        <v>287</v>
      </c>
      <c r="G260" s="10">
        <v>0.4</v>
      </c>
      <c r="H260" s="15">
        <v>69</v>
      </c>
      <c r="I260" s="15">
        <v>58</v>
      </c>
      <c r="J260" s="15">
        <v>37</v>
      </c>
      <c r="K260" s="15">
        <v>255.4</v>
      </c>
    </row>
    <row r="261" spans="1:11" ht="15" customHeight="1" x14ac:dyDescent="0.2">
      <c r="A261" s="9" t="s">
        <v>1295</v>
      </c>
      <c r="B261" s="9" t="s">
        <v>1566</v>
      </c>
      <c r="C261" s="9" t="s">
        <v>694</v>
      </c>
      <c r="D261" s="9" t="s">
        <v>251</v>
      </c>
      <c r="E261" s="9" t="s">
        <v>261</v>
      </c>
      <c r="F261" s="9" t="s">
        <v>287</v>
      </c>
      <c r="G261" s="10">
        <v>0.55000000000000004</v>
      </c>
      <c r="H261" s="15">
        <v>90</v>
      </c>
      <c r="I261" s="15">
        <v>70</v>
      </c>
      <c r="J261" s="15">
        <v>65</v>
      </c>
      <c r="K261" s="15">
        <v>847.9</v>
      </c>
    </row>
    <row r="262" spans="1:11" ht="15" customHeight="1" x14ac:dyDescent="0.2">
      <c r="A262" s="9" t="s">
        <v>316</v>
      </c>
      <c r="B262" s="9" t="s">
        <v>1567</v>
      </c>
      <c r="C262" s="9" t="s">
        <v>238</v>
      </c>
      <c r="D262" s="9" t="s">
        <v>258</v>
      </c>
      <c r="E262" s="9" t="s">
        <v>261</v>
      </c>
      <c r="F262" s="9" t="s">
        <v>287</v>
      </c>
      <c r="G262" s="10">
        <v>0.6</v>
      </c>
      <c r="H262" s="15">
        <v>88</v>
      </c>
      <c r="I262" s="15">
        <v>83</v>
      </c>
      <c r="J262" s="15">
        <v>23</v>
      </c>
      <c r="K262" s="15">
        <v>139.80000000000001</v>
      </c>
    </row>
    <row r="263" spans="1:11" ht="15" customHeight="1" x14ac:dyDescent="0.2">
      <c r="A263" s="9" t="s">
        <v>318</v>
      </c>
      <c r="B263" s="9" t="s">
        <v>1567</v>
      </c>
      <c r="C263" s="9" t="s">
        <v>238</v>
      </c>
      <c r="D263" s="9" t="s">
        <v>251</v>
      </c>
      <c r="E263" s="9" t="s">
        <v>262</v>
      </c>
      <c r="F263" s="9" t="s">
        <v>287</v>
      </c>
      <c r="G263" s="10">
        <v>0</v>
      </c>
      <c r="H263" s="15">
        <v>64</v>
      </c>
      <c r="I263" s="15">
        <v>48</v>
      </c>
      <c r="J263" s="15">
        <v>30</v>
      </c>
      <c r="K263" s="15">
        <v>77</v>
      </c>
    </row>
    <row r="264" spans="1:11" ht="15" customHeight="1" x14ac:dyDescent="0.2">
      <c r="A264" s="9" t="s">
        <v>320</v>
      </c>
      <c r="B264" s="9" t="s">
        <v>1567</v>
      </c>
      <c r="C264" s="9" t="s">
        <v>238</v>
      </c>
      <c r="D264" s="9" t="s">
        <v>255</v>
      </c>
      <c r="E264" s="9" t="s">
        <v>260</v>
      </c>
      <c r="F264" s="9" t="s">
        <v>287</v>
      </c>
      <c r="G264" s="10">
        <v>0.1</v>
      </c>
      <c r="H264" s="15">
        <v>65</v>
      </c>
      <c r="I264" s="15">
        <v>44</v>
      </c>
      <c r="J264" s="15">
        <v>14</v>
      </c>
      <c r="K264" s="15">
        <v>49</v>
      </c>
    </row>
    <row r="265" spans="1:11" ht="15" customHeight="1" x14ac:dyDescent="0.2">
      <c r="A265" s="9" t="s">
        <v>322</v>
      </c>
      <c r="B265" s="9" t="s">
        <v>1567</v>
      </c>
      <c r="C265" s="9" t="s">
        <v>238</v>
      </c>
      <c r="D265" s="9" t="s">
        <v>258</v>
      </c>
      <c r="E265" s="9" t="s">
        <v>261</v>
      </c>
      <c r="F265" s="9" t="s">
        <v>287</v>
      </c>
      <c r="G265" s="10">
        <v>0.6</v>
      </c>
      <c r="H265" s="15">
        <v>58</v>
      </c>
      <c r="I265" s="15">
        <v>47</v>
      </c>
      <c r="J265" s="15">
        <v>36</v>
      </c>
      <c r="K265" s="15">
        <v>72.8</v>
      </c>
    </row>
    <row r="266" spans="1:11" ht="15" customHeight="1" x14ac:dyDescent="0.2">
      <c r="A266" s="9" t="s">
        <v>323</v>
      </c>
      <c r="B266" s="9" t="s">
        <v>1567</v>
      </c>
      <c r="C266" s="9" t="s">
        <v>238</v>
      </c>
      <c r="D266" s="9" t="s">
        <v>251</v>
      </c>
      <c r="E266" s="9" t="s">
        <v>261</v>
      </c>
      <c r="F266" s="9" t="s">
        <v>287</v>
      </c>
      <c r="G266" s="10">
        <v>0.35</v>
      </c>
      <c r="H266" s="15">
        <v>64</v>
      </c>
      <c r="I266" s="15">
        <v>49</v>
      </c>
      <c r="J266" s="15">
        <v>25</v>
      </c>
      <c r="K266" s="15">
        <v>70.599999999999994</v>
      </c>
    </row>
    <row r="267" spans="1:11" ht="15" customHeight="1" x14ac:dyDescent="0.2">
      <c r="A267" s="9" t="s">
        <v>759</v>
      </c>
      <c r="B267" s="9" t="s">
        <v>1567</v>
      </c>
      <c r="C267" s="9" t="s">
        <v>238</v>
      </c>
      <c r="D267" s="9" t="s">
        <v>751</v>
      </c>
      <c r="E267" s="9" t="s">
        <v>262</v>
      </c>
      <c r="F267" s="9" t="s">
        <v>287</v>
      </c>
      <c r="G267" s="10">
        <v>0.5</v>
      </c>
      <c r="H267" s="15">
        <v>87</v>
      </c>
      <c r="I267" s="15">
        <v>65</v>
      </c>
      <c r="J267" s="15">
        <v>56</v>
      </c>
      <c r="K267" s="15">
        <v>428.5</v>
      </c>
    </row>
    <row r="268" spans="1:11" ht="15" customHeight="1" x14ac:dyDescent="0.2">
      <c r="A268" s="9" t="s">
        <v>1296</v>
      </c>
      <c r="B268" s="9" t="s">
        <v>1567</v>
      </c>
      <c r="C268" s="9" t="s">
        <v>238</v>
      </c>
      <c r="D268" s="9" t="s">
        <v>251</v>
      </c>
      <c r="E268" s="9" t="s">
        <v>263</v>
      </c>
      <c r="F268" s="9" t="s">
        <v>287</v>
      </c>
      <c r="G268" s="10">
        <v>0.4</v>
      </c>
      <c r="H268" s="15">
        <v>42</v>
      </c>
      <c r="I268" s="15">
        <v>30</v>
      </c>
      <c r="J268" s="15">
        <v>21</v>
      </c>
      <c r="K268" s="15">
        <v>48.8</v>
      </c>
    </row>
    <row r="269" spans="1:11" ht="15" customHeight="1" x14ac:dyDescent="0.2">
      <c r="A269" s="9" t="s">
        <v>1297</v>
      </c>
      <c r="B269" s="9" t="s">
        <v>1567</v>
      </c>
      <c r="C269" s="9" t="s">
        <v>238</v>
      </c>
      <c r="D269" s="9" t="s">
        <v>251</v>
      </c>
      <c r="E269" s="9" t="s">
        <v>262</v>
      </c>
      <c r="F269" s="9" t="s">
        <v>287</v>
      </c>
      <c r="G269" s="10">
        <v>0.4</v>
      </c>
      <c r="H269" s="15">
        <v>80</v>
      </c>
      <c r="I269" s="15">
        <v>30</v>
      </c>
      <c r="J269" s="15">
        <v>16</v>
      </c>
      <c r="K269" s="15">
        <v>74.400000000000006</v>
      </c>
    </row>
    <row r="270" spans="1:11" ht="15" customHeight="1" x14ac:dyDescent="0.2">
      <c r="A270" s="9" t="s">
        <v>1298</v>
      </c>
      <c r="B270" s="9" t="s">
        <v>1567</v>
      </c>
      <c r="C270" s="9" t="s">
        <v>238</v>
      </c>
      <c r="D270" s="9" t="s">
        <v>251</v>
      </c>
      <c r="E270" s="9" t="s">
        <v>262</v>
      </c>
      <c r="F270" s="9" t="s">
        <v>287</v>
      </c>
      <c r="G270" s="10">
        <v>0.6</v>
      </c>
      <c r="H270" s="15">
        <v>59</v>
      </c>
      <c r="I270" s="15">
        <v>62</v>
      </c>
      <c r="J270" s="15">
        <v>30</v>
      </c>
      <c r="K270" s="15">
        <v>262.3</v>
      </c>
    </row>
    <row r="271" spans="1:11" ht="15" customHeight="1" x14ac:dyDescent="0.2">
      <c r="A271" s="9" t="s">
        <v>1299</v>
      </c>
      <c r="B271" s="9" t="s">
        <v>1567</v>
      </c>
      <c r="C271" s="9" t="s">
        <v>238</v>
      </c>
      <c r="D271" s="9" t="s">
        <v>251</v>
      </c>
      <c r="E271" s="9" t="s">
        <v>262</v>
      </c>
      <c r="F271" s="9" t="s">
        <v>287</v>
      </c>
      <c r="G271" s="10">
        <v>0.55000000000000004</v>
      </c>
      <c r="H271" s="15">
        <v>56</v>
      </c>
      <c r="I271" s="15">
        <v>57</v>
      </c>
      <c r="J271" s="15">
        <v>27</v>
      </c>
      <c r="K271" s="15">
        <v>250.3</v>
      </c>
    </row>
    <row r="272" spans="1:11" ht="15" customHeight="1" x14ac:dyDescent="0.2">
      <c r="A272" s="9" t="s">
        <v>1300</v>
      </c>
      <c r="B272" s="9" t="s">
        <v>1567</v>
      </c>
      <c r="C272" s="9" t="s">
        <v>238</v>
      </c>
      <c r="D272" s="9" t="s">
        <v>251</v>
      </c>
      <c r="E272" s="9" t="s">
        <v>260</v>
      </c>
      <c r="F272" s="9" t="s">
        <v>287</v>
      </c>
      <c r="G272" s="10">
        <v>0.4</v>
      </c>
      <c r="H272" s="15">
        <v>70</v>
      </c>
      <c r="I272" s="15">
        <v>50</v>
      </c>
      <c r="J272" s="15">
        <v>50</v>
      </c>
      <c r="K272" s="15">
        <v>404</v>
      </c>
    </row>
    <row r="273" spans="1:11" ht="15" customHeight="1" x14ac:dyDescent="0.2">
      <c r="A273" s="9" t="s">
        <v>1301</v>
      </c>
      <c r="B273" s="9" t="s">
        <v>1567</v>
      </c>
      <c r="C273" s="9" t="s">
        <v>238</v>
      </c>
      <c r="D273" s="9" t="s">
        <v>251</v>
      </c>
      <c r="E273" s="9" t="s">
        <v>260</v>
      </c>
      <c r="F273" s="9" t="s">
        <v>287</v>
      </c>
      <c r="G273" s="10">
        <v>0.1</v>
      </c>
      <c r="H273" s="15">
        <v>55</v>
      </c>
      <c r="I273" s="15">
        <v>32</v>
      </c>
      <c r="J273" s="15">
        <v>30</v>
      </c>
      <c r="K273" s="15">
        <v>43.2</v>
      </c>
    </row>
    <row r="274" spans="1:11" ht="15" customHeight="1" x14ac:dyDescent="0.2">
      <c r="A274" s="9" t="s">
        <v>1302</v>
      </c>
      <c r="B274" s="9" t="s">
        <v>1567</v>
      </c>
      <c r="C274" s="9" t="s">
        <v>238</v>
      </c>
      <c r="D274" s="9" t="s">
        <v>251</v>
      </c>
      <c r="E274" s="9" t="s">
        <v>262</v>
      </c>
      <c r="F274" s="9" t="s">
        <v>287</v>
      </c>
      <c r="G274" s="10">
        <v>0.5</v>
      </c>
      <c r="H274" s="15">
        <v>61</v>
      </c>
      <c r="I274" s="15">
        <v>42</v>
      </c>
      <c r="J274" s="15">
        <v>42</v>
      </c>
      <c r="K274" s="15">
        <v>250.6</v>
      </c>
    </row>
    <row r="275" spans="1:11" ht="15" customHeight="1" x14ac:dyDescent="0.2">
      <c r="A275" s="9" t="s">
        <v>1303</v>
      </c>
      <c r="B275" s="9" t="s">
        <v>1567</v>
      </c>
      <c r="C275" s="9" t="s">
        <v>238</v>
      </c>
      <c r="D275" s="9" t="s">
        <v>251</v>
      </c>
      <c r="E275" s="9" t="s">
        <v>262</v>
      </c>
      <c r="F275" s="9" t="s">
        <v>287</v>
      </c>
      <c r="G275" s="10">
        <v>0.6</v>
      </c>
      <c r="H275" s="15">
        <v>51</v>
      </c>
      <c r="I275" s="15">
        <v>48</v>
      </c>
      <c r="J275" s="15">
        <v>31</v>
      </c>
      <c r="K275" s="15">
        <v>202.4</v>
      </c>
    </row>
    <row r="276" spans="1:11" ht="15" customHeight="1" x14ac:dyDescent="0.2">
      <c r="A276" s="9" t="s">
        <v>324</v>
      </c>
      <c r="B276" s="9" t="s">
        <v>1568</v>
      </c>
      <c r="C276" s="9" t="s">
        <v>239</v>
      </c>
      <c r="D276" s="9" t="s">
        <v>251</v>
      </c>
      <c r="E276" s="9" t="s">
        <v>260</v>
      </c>
      <c r="F276" s="9" t="s">
        <v>287</v>
      </c>
      <c r="G276" s="10">
        <v>0.9</v>
      </c>
      <c r="H276" s="15">
        <v>94</v>
      </c>
      <c r="I276" s="15">
        <v>74</v>
      </c>
      <c r="J276" s="15">
        <v>26</v>
      </c>
      <c r="K276" s="15">
        <v>265.89999999999998</v>
      </c>
    </row>
    <row r="277" spans="1:11" ht="15" customHeight="1" x14ac:dyDescent="0.2">
      <c r="A277" s="9" t="s">
        <v>325</v>
      </c>
      <c r="B277" s="9" t="s">
        <v>1568</v>
      </c>
      <c r="C277" s="9" t="s">
        <v>239</v>
      </c>
      <c r="D277" s="9" t="s">
        <v>251</v>
      </c>
      <c r="E277" s="9" t="s">
        <v>261</v>
      </c>
      <c r="F277" s="9" t="s">
        <v>287</v>
      </c>
      <c r="G277" s="10">
        <v>0.35</v>
      </c>
      <c r="H277" s="15">
        <v>133</v>
      </c>
      <c r="I277" s="15">
        <v>66</v>
      </c>
      <c r="J277" s="15">
        <v>48</v>
      </c>
      <c r="K277" s="15">
        <v>293.7</v>
      </c>
    </row>
    <row r="278" spans="1:11" ht="15" customHeight="1" x14ac:dyDescent="0.2">
      <c r="A278" s="9" t="s">
        <v>326</v>
      </c>
      <c r="B278" s="9" t="s">
        <v>1568</v>
      </c>
      <c r="C278" s="9" t="s">
        <v>239</v>
      </c>
      <c r="D278" s="9" t="s">
        <v>251</v>
      </c>
      <c r="E278" s="9" t="s">
        <v>260</v>
      </c>
      <c r="F278" s="9" t="s">
        <v>287</v>
      </c>
      <c r="G278" s="10">
        <v>0.55000000000000004</v>
      </c>
      <c r="H278" s="15">
        <v>73</v>
      </c>
      <c r="I278" s="15">
        <v>68</v>
      </c>
      <c r="J278" s="15">
        <v>28</v>
      </c>
      <c r="K278" s="15">
        <v>188.2</v>
      </c>
    </row>
    <row r="279" spans="1:11" ht="15" customHeight="1" x14ac:dyDescent="0.2">
      <c r="A279" s="9" t="s">
        <v>327</v>
      </c>
      <c r="B279" s="9" t="s">
        <v>1568</v>
      </c>
      <c r="C279" s="9" t="s">
        <v>239</v>
      </c>
      <c r="D279" s="9" t="s">
        <v>251</v>
      </c>
      <c r="E279" s="9" t="s">
        <v>260</v>
      </c>
      <c r="F279" s="9" t="s">
        <v>287</v>
      </c>
      <c r="G279" s="10">
        <v>0.45</v>
      </c>
      <c r="H279" s="15">
        <v>64</v>
      </c>
      <c r="I279" s="15">
        <v>58</v>
      </c>
      <c r="J279" s="15">
        <v>26</v>
      </c>
      <c r="K279" s="15">
        <v>121.3</v>
      </c>
    </row>
    <row r="280" spans="1:11" ht="15" customHeight="1" x14ac:dyDescent="0.2">
      <c r="A280" s="9" t="s">
        <v>329</v>
      </c>
      <c r="B280" s="9" t="s">
        <v>1568</v>
      </c>
      <c r="C280" s="9" t="s">
        <v>239</v>
      </c>
      <c r="D280" s="9" t="s">
        <v>251</v>
      </c>
      <c r="E280" s="9" t="s">
        <v>261</v>
      </c>
      <c r="F280" s="9" t="s">
        <v>287</v>
      </c>
      <c r="G280" s="10">
        <v>0.6</v>
      </c>
      <c r="H280" s="15">
        <v>76</v>
      </c>
      <c r="I280" s="15">
        <v>55</v>
      </c>
      <c r="J280" s="15">
        <v>24</v>
      </c>
      <c r="K280" s="15">
        <v>110.7</v>
      </c>
    </row>
    <row r="281" spans="1:11" ht="15" customHeight="1" x14ac:dyDescent="0.2">
      <c r="A281" s="9" t="s">
        <v>330</v>
      </c>
      <c r="B281" s="9" t="s">
        <v>1568</v>
      </c>
      <c r="C281" s="9" t="s">
        <v>239</v>
      </c>
      <c r="D281" s="9" t="s">
        <v>251</v>
      </c>
      <c r="E281" s="9" t="s">
        <v>261</v>
      </c>
      <c r="F281" s="9" t="s">
        <v>287</v>
      </c>
      <c r="G281" s="10">
        <v>0.4</v>
      </c>
      <c r="H281" s="15">
        <v>66</v>
      </c>
      <c r="I281" s="15">
        <v>58</v>
      </c>
      <c r="J281" s="15">
        <v>31</v>
      </c>
      <c r="K281" s="15">
        <v>127.4</v>
      </c>
    </row>
    <row r="282" spans="1:11" ht="15" customHeight="1" x14ac:dyDescent="0.2">
      <c r="A282" s="9" t="s">
        <v>333</v>
      </c>
      <c r="B282" s="9" t="s">
        <v>1568</v>
      </c>
      <c r="C282" s="9" t="s">
        <v>239</v>
      </c>
      <c r="D282" s="9" t="s">
        <v>251</v>
      </c>
      <c r="E282" s="9" t="s">
        <v>260</v>
      </c>
      <c r="F282" s="9" t="s">
        <v>287</v>
      </c>
      <c r="G282" s="10">
        <v>0.5</v>
      </c>
      <c r="H282" s="15">
        <v>76</v>
      </c>
      <c r="I282" s="15">
        <v>48</v>
      </c>
      <c r="J282" s="15">
        <v>23</v>
      </c>
      <c r="K282" s="15">
        <v>92.7</v>
      </c>
    </row>
    <row r="283" spans="1:11" ht="15" customHeight="1" x14ac:dyDescent="0.2">
      <c r="A283" s="9" t="s">
        <v>335</v>
      </c>
      <c r="B283" s="9" t="s">
        <v>1568</v>
      </c>
      <c r="C283" s="9" t="s">
        <v>239</v>
      </c>
      <c r="D283" s="9" t="s">
        <v>251</v>
      </c>
      <c r="E283" s="9" t="s">
        <v>262</v>
      </c>
      <c r="F283" s="9" t="s">
        <v>287</v>
      </c>
      <c r="G283" s="10">
        <v>0.6</v>
      </c>
      <c r="H283" s="15">
        <v>83</v>
      </c>
      <c r="I283" s="15">
        <v>45</v>
      </c>
      <c r="J283" s="15">
        <v>19</v>
      </c>
      <c r="K283" s="15">
        <v>100.1</v>
      </c>
    </row>
    <row r="284" spans="1:11" ht="15" customHeight="1" x14ac:dyDescent="0.2">
      <c r="A284" s="9" t="s">
        <v>336</v>
      </c>
      <c r="B284" s="9" t="s">
        <v>1568</v>
      </c>
      <c r="C284" s="9" t="s">
        <v>239</v>
      </c>
      <c r="D284" s="9" t="s">
        <v>251</v>
      </c>
      <c r="E284" s="9" t="s">
        <v>260</v>
      </c>
      <c r="F284" s="9" t="s">
        <v>287</v>
      </c>
      <c r="G284" s="10">
        <v>0.65</v>
      </c>
      <c r="H284" s="15">
        <v>69</v>
      </c>
      <c r="I284" s="15">
        <v>50</v>
      </c>
      <c r="J284" s="15">
        <v>22</v>
      </c>
      <c r="K284" s="15">
        <v>91.6</v>
      </c>
    </row>
    <row r="285" spans="1:11" ht="15" customHeight="1" x14ac:dyDescent="0.2">
      <c r="A285" s="9" t="s">
        <v>337</v>
      </c>
      <c r="B285" s="9" t="s">
        <v>1568</v>
      </c>
      <c r="C285" s="9" t="s">
        <v>240</v>
      </c>
      <c r="D285" s="9" t="s">
        <v>251</v>
      </c>
      <c r="E285" s="9" t="s">
        <v>261</v>
      </c>
      <c r="F285" s="9" t="s">
        <v>287</v>
      </c>
      <c r="G285" s="10">
        <v>0.6</v>
      </c>
      <c r="H285" s="15">
        <v>60</v>
      </c>
      <c r="I285" s="15">
        <v>58</v>
      </c>
      <c r="J285" s="15">
        <v>26</v>
      </c>
      <c r="K285" s="15">
        <v>86.7</v>
      </c>
    </row>
    <row r="286" spans="1:11" ht="15" customHeight="1" x14ac:dyDescent="0.2">
      <c r="A286" s="9" t="s">
        <v>338</v>
      </c>
      <c r="B286" s="9" t="s">
        <v>1568</v>
      </c>
      <c r="C286" s="9" t="s">
        <v>240</v>
      </c>
      <c r="D286" s="9" t="s">
        <v>251</v>
      </c>
      <c r="E286" s="9" t="s">
        <v>261</v>
      </c>
      <c r="F286" s="9" t="s">
        <v>287</v>
      </c>
      <c r="G286" s="10">
        <v>0.4</v>
      </c>
      <c r="H286" s="15">
        <v>53</v>
      </c>
      <c r="I286" s="15">
        <v>50</v>
      </c>
      <c r="J286" s="15">
        <v>18</v>
      </c>
      <c r="K286" s="15">
        <v>67.3</v>
      </c>
    </row>
    <row r="287" spans="1:11" ht="15" customHeight="1" x14ac:dyDescent="0.2">
      <c r="A287" s="9" t="s">
        <v>339</v>
      </c>
      <c r="B287" s="9" t="s">
        <v>1568</v>
      </c>
      <c r="C287" s="9" t="s">
        <v>240</v>
      </c>
      <c r="D287" s="9" t="s">
        <v>251</v>
      </c>
      <c r="E287" s="9" t="s">
        <v>261</v>
      </c>
      <c r="F287" s="9" t="s">
        <v>287</v>
      </c>
      <c r="G287" s="10">
        <v>0.3</v>
      </c>
      <c r="H287" s="15">
        <v>97</v>
      </c>
      <c r="I287" s="15">
        <v>50</v>
      </c>
      <c r="J287" s="15">
        <v>34</v>
      </c>
      <c r="K287" s="15">
        <v>171.7</v>
      </c>
    </row>
    <row r="288" spans="1:11" ht="15" customHeight="1" x14ac:dyDescent="0.2">
      <c r="A288" s="9" t="s">
        <v>340</v>
      </c>
      <c r="B288" s="9" t="s">
        <v>1568</v>
      </c>
      <c r="C288" s="9" t="s">
        <v>240</v>
      </c>
      <c r="D288" s="9" t="s">
        <v>251</v>
      </c>
      <c r="E288" s="9" t="s">
        <v>261</v>
      </c>
      <c r="F288" s="9" t="s">
        <v>287</v>
      </c>
      <c r="G288" s="10">
        <v>0.6</v>
      </c>
      <c r="H288" s="15">
        <v>72</v>
      </c>
      <c r="I288" s="15">
        <v>41</v>
      </c>
      <c r="J288" s="15">
        <v>35</v>
      </c>
      <c r="K288" s="15">
        <v>129.1</v>
      </c>
    </row>
    <row r="289" spans="1:11" ht="15" customHeight="1" x14ac:dyDescent="0.2">
      <c r="A289" s="9" t="s">
        <v>341</v>
      </c>
      <c r="B289" s="9" t="s">
        <v>1568</v>
      </c>
      <c r="C289" s="9" t="s">
        <v>240</v>
      </c>
      <c r="D289" s="9" t="s">
        <v>251</v>
      </c>
      <c r="E289" s="9" t="s">
        <v>261</v>
      </c>
      <c r="F289" s="9" t="s">
        <v>287</v>
      </c>
      <c r="G289" s="10">
        <v>0.6</v>
      </c>
      <c r="H289" s="15">
        <v>63</v>
      </c>
      <c r="I289" s="15">
        <v>40</v>
      </c>
      <c r="J289" s="15">
        <v>28</v>
      </c>
      <c r="K289" s="15">
        <v>67.7</v>
      </c>
    </row>
    <row r="290" spans="1:11" ht="15" customHeight="1" x14ac:dyDescent="0.2">
      <c r="A290" s="9" t="s">
        <v>342</v>
      </c>
      <c r="B290" s="9" t="s">
        <v>1568</v>
      </c>
      <c r="C290" s="9" t="s">
        <v>240</v>
      </c>
      <c r="D290" s="9" t="s">
        <v>251</v>
      </c>
      <c r="E290" s="9" t="s">
        <v>261</v>
      </c>
      <c r="F290" s="9" t="s">
        <v>287</v>
      </c>
      <c r="G290" s="10">
        <v>0.3</v>
      </c>
      <c r="H290" s="15">
        <v>60</v>
      </c>
      <c r="I290" s="15">
        <v>53</v>
      </c>
      <c r="J290" s="15">
        <v>30</v>
      </c>
      <c r="K290" s="15">
        <v>88.3</v>
      </c>
    </row>
    <row r="291" spans="1:11" ht="15" customHeight="1" x14ac:dyDescent="0.2">
      <c r="A291" s="9" t="s">
        <v>343</v>
      </c>
      <c r="B291" s="9" t="s">
        <v>1568</v>
      </c>
      <c r="C291" s="9" t="s">
        <v>240</v>
      </c>
      <c r="D291" s="9" t="s">
        <v>251</v>
      </c>
      <c r="E291" s="9" t="s">
        <v>261</v>
      </c>
      <c r="F291" s="9" t="s">
        <v>287</v>
      </c>
      <c r="G291" s="10">
        <v>0.55000000000000004</v>
      </c>
      <c r="H291" s="15">
        <v>109</v>
      </c>
      <c r="I291" s="15">
        <v>97</v>
      </c>
      <c r="J291" s="15">
        <v>80</v>
      </c>
      <c r="K291" s="15">
        <v>717</v>
      </c>
    </row>
    <row r="292" spans="1:11" ht="15" customHeight="1" x14ac:dyDescent="0.2">
      <c r="A292" s="9" t="s">
        <v>344</v>
      </c>
      <c r="B292" s="9" t="s">
        <v>1568</v>
      </c>
      <c r="C292" s="9" t="s">
        <v>240</v>
      </c>
      <c r="D292" s="9" t="s">
        <v>251</v>
      </c>
      <c r="E292" s="9" t="s">
        <v>261</v>
      </c>
      <c r="F292" s="9" t="s">
        <v>287</v>
      </c>
      <c r="G292" s="10">
        <v>0.6</v>
      </c>
      <c r="H292" s="15">
        <v>72</v>
      </c>
      <c r="I292" s="15">
        <v>52</v>
      </c>
      <c r="J292" s="15">
        <v>36</v>
      </c>
      <c r="K292" s="15">
        <v>144.1</v>
      </c>
    </row>
    <row r="293" spans="1:11" ht="15" customHeight="1" x14ac:dyDescent="0.2">
      <c r="A293" s="9" t="s">
        <v>1578</v>
      </c>
      <c r="B293" s="9" t="s">
        <v>1568</v>
      </c>
      <c r="C293" s="9" t="s">
        <v>240</v>
      </c>
      <c r="D293" s="9" t="s">
        <v>251</v>
      </c>
      <c r="E293" s="9" t="s">
        <v>261</v>
      </c>
      <c r="F293" s="9" t="s">
        <v>287</v>
      </c>
      <c r="G293" s="10">
        <v>0.25</v>
      </c>
      <c r="H293" s="15">
        <v>63</v>
      </c>
      <c r="I293" s="15">
        <v>50</v>
      </c>
      <c r="J293" s="15">
        <v>29</v>
      </c>
      <c r="K293" s="15">
        <v>91.5</v>
      </c>
    </row>
    <row r="294" spans="1:11" ht="15" customHeight="1" x14ac:dyDescent="0.2">
      <c r="A294" s="9" t="s">
        <v>346</v>
      </c>
      <c r="B294" s="9" t="s">
        <v>1568</v>
      </c>
      <c r="C294" s="9" t="s">
        <v>240</v>
      </c>
      <c r="D294" s="9" t="s">
        <v>251</v>
      </c>
      <c r="E294" s="9" t="s">
        <v>261</v>
      </c>
      <c r="F294" s="9" t="s">
        <v>287</v>
      </c>
      <c r="G294" s="10">
        <v>0.7</v>
      </c>
      <c r="H294" s="15">
        <v>66</v>
      </c>
      <c r="I294" s="15">
        <v>58</v>
      </c>
      <c r="J294" s="15">
        <v>35</v>
      </c>
      <c r="K294" s="15">
        <v>190.4</v>
      </c>
    </row>
    <row r="295" spans="1:11" ht="15" customHeight="1" x14ac:dyDescent="0.2">
      <c r="A295" s="9" t="s">
        <v>347</v>
      </c>
      <c r="B295" s="9" t="s">
        <v>1568</v>
      </c>
      <c r="C295" s="9" t="s">
        <v>240</v>
      </c>
      <c r="D295" s="9" t="s">
        <v>251</v>
      </c>
      <c r="E295" s="9" t="s">
        <v>262</v>
      </c>
      <c r="F295" s="9" t="s">
        <v>287</v>
      </c>
      <c r="G295" s="10">
        <v>0.6</v>
      </c>
      <c r="H295" s="15">
        <v>95</v>
      </c>
      <c r="I295" s="15">
        <v>56</v>
      </c>
      <c r="J295" s="15">
        <v>34</v>
      </c>
      <c r="K295" s="15">
        <v>206</v>
      </c>
    </row>
    <row r="296" spans="1:11" ht="15" customHeight="1" x14ac:dyDescent="0.2">
      <c r="A296" s="9" t="s">
        <v>348</v>
      </c>
      <c r="B296" s="9" t="s">
        <v>1568</v>
      </c>
      <c r="C296" s="9" t="s">
        <v>240</v>
      </c>
      <c r="D296" s="9" t="s">
        <v>251</v>
      </c>
      <c r="E296" s="9" t="s">
        <v>261</v>
      </c>
      <c r="F296" s="9" t="s">
        <v>287</v>
      </c>
      <c r="G296" s="10">
        <v>0.9</v>
      </c>
      <c r="H296" s="15">
        <v>112</v>
      </c>
      <c r="I296" s="15">
        <v>78</v>
      </c>
      <c r="J296" s="15">
        <v>25</v>
      </c>
      <c r="K296" s="15">
        <v>360.1</v>
      </c>
    </row>
    <row r="297" spans="1:11" ht="15" customHeight="1" x14ac:dyDescent="0.2">
      <c r="A297" s="9" t="s">
        <v>349</v>
      </c>
      <c r="B297" s="9" t="s">
        <v>1568</v>
      </c>
      <c r="C297" s="9" t="s">
        <v>240</v>
      </c>
      <c r="D297" s="9" t="s">
        <v>251</v>
      </c>
      <c r="E297" s="9" t="s">
        <v>261</v>
      </c>
      <c r="F297" s="9" t="s">
        <v>287</v>
      </c>
      <c r="G297" s="10">
        <v>0.7</v>
      </c>
      <c r="H297" s="15">
        <v>65</v>
      </c>
      <c r="I297" s="15">
        <v>51</v>
      </c>
      <c r="J297" s="15">
        <v>38</v>
      </c>
      <c r="K297" s="15">
        <v>155</v>
      </c>
    </row>
    <row r="298" spans="1:11" ht="15" customHeight="1" x14ac:dyDescent="0.2">
      <c r="A298" s="9" t="s">
        <v>350</v>
      </c>
      <c r="B298" s="9" t="s">
        <v>1568</v>
      </c>
      <c r="C298" s="9" t="s">
        <v>240</v>
      </c>
      <c r="D298" s="9" t="s">
        <v>258</v>
      </c>
      <c r="E298" s="9" t="s">
        <v>261</v>
      </c>
      <c r="F298" s="9" t="s">
        <v>287</v>
      </c>
      <c r="G298" s="10">
        <v>0.65</v>
      </c>
      <c r="H298" s="15">
        <v>65</v>
      </c>
      <c r="I298" s="15">
        <v>65</v>
      </c>
      <c r="J298" s="15">
        <v>35</v>
      </c>
      <c r="K298" s="15">
        <v>154.30000000000001</v>
      </c>
    </row>
    <row r="299" spans="1:11" ht="15" customHeight="1" x14ac:dyDescent="0.2">
      <c r="A299" s="9" t="s">
        <v>351</v>
      </c>
      <c r="B299" s="9" t="s">
        <v>1568</v>
      </c>
      <c r="C299" s="9" t="s">
        <v>240</v>
      </c>
      <c r="D299" s="9" t="s">
        <v>251</v>
      </c>
      <c r="E299" s="9" t="s">
        <v>261</v>
      </c>
      <c r="F299" s="9" t="s">
        <v>287</v>
      </c>
      <c r="G299" s="10">
        <v>0.5</v>
      </c>
      <c r="H299" s="15">
        <v>72</v>
      </c>
      <c r="I299" s="15">
        <v>55</v>
      </c>
      <c r="J299" s="15">
        <v>43</v>
      </c>
      <c r="K299" s="15">
        <v>187.1</v>
      </c>
    </row>
    <row r="300" spans="1:11" ht="15" customHeight="1" x14ac:dyDescent="0.2">
      <c r="A300" s="9" t="s">
        <v>352</v>
      </c>
      <c r="B300" s="9" t="s">
        <v>1568</v>
      </c>
      <c r="C300" s="9" t="s">
        <v>240</v>
      </c>
      <c r="D300" s="9" t="s">
        <v>251</v>
      </c>
      <c r="E300" s="9" t="s">
        <v>260</v>
      </c>
      <c r="F300" s="9" t="s">
        <v>287</v>
      </c>
      <c r="G300" s="10">
        <v>0.35</v>
      </c>
      <c r="H300" s="15">
        <v>70</v>
      </c>
      <c r="I300" s="15">
        <v>66</v>
      </c>
      <c r="J300" s="15">
        <v>28</v>
      </c>
      <c r="K300" s="15">
        <v>146.80000000000001</v>
      </c>
    </row>
    <row r="301" spans="1:11" ht="15" customHeight="1" x14ac:dyDescent="0.2">
      <c r="A301" s="9" t="s">
        <v>353</v>
      </c>
      <c r="B301" s="9" t="s">
        <v>1568</v>
      </c>
      <c r="C301" s="9" t="s">
        <v>240</v>
      </c>
      <c r="D301" s="9" t="s">
        <v>251</v>
      </c>
      <c r="E301" s="9" t="s">
        <v>260</v>
      </c>
      <c r="F301" s="9" t="s">
        <v>287</v>
      </c>
      <c r="G301" s="10">
        <v>0.1</v>
      </c>
      <c r="H301" s="15">
        <v>72</v>
      </c>
      <c r="I301" s="15">
        <v>68</v>
      </c>
      <c r="J301" s="15">
        <v>28</v>
      </c>
      <c r="K301" s="15">
        <v>137.30000000000001</v>
      </c>
    </row>
    <row r="302" spans="1:11" ht="15" customHeight="1" x14ac:dyDescent="0.2">
      <c r="A302" s="9" t="s">
        <v>354</v>
      </c>
      <c r="B302" s="9" t="s">
        <v>1568</v>
      </c>
      <c r="C302" s="9" t="s">
        <v>240</v>
      </c>
      <c r="D302" s="9" t="s">
        <v>251</v>
      </c>
      <c r="E302" s="9" t="s">
        <v>261</v>
      </c>
      <c r="F302" s="9" t="s">
        <v>287</v>
      </c>
      <c r="G302" s="10">
        <v>0.4</v>
      </c>
      <c r="H302" s="15">
        <v>68</v>
      </c>
      <c r="I302" s="15">
        <v>53</v>
      </c>
      <c r="J302" s="15">
        <v>40</v>
      </c>
      <c r="K302" s="15">
        <v>173.7</v>
      </c>
    </row>
    <row r="303" spans="1:11" ht="15" customHeight="1" x14ac:dyDescent="0.2">
      <c r="A303" s="9" t="s">
        <v>355</v>
      </c>
      <c r="B303" s="9" t="s">
        <v>1568</v>
      </c>
      <c r="C303" s="9" t="s">
        <v>240</v>
      </c>
      <c r="D303" s="9" t="s">
        <v>254</v>
      </c>
      <c r="E303" s="9" t="s">
        <v>261</v>
      </c>
      <c r="F303" s="9" t="s">
        <v>287</v>
      </c>
      <c r="G303" s="10">
        <v>0.6</v>
      </c>
      <c r="H303" s="15">
        <v>71</v>
      </c>
      <c r="I303" s="15">
        <v>48</v>
      </c>
      <c r="J303" s="15">
        <v>25</v>
      </c>
      <c r="K303" s="15">
        <v>90.2</v>
      </c>
    </row>
    <row r="304" spans="1:11" ht="15" customHeight="1" x14ac:dyDescent="0.2">
      <c r="A304" s="9" t="s">
        <v>356</v>
      </c>
      <c r="B304" s="9" t="s">
        <v>1568</v>
      </c>
      <c r="C304" s="9" t="s">
        <v>240</v>
      </c>
      <c r="D304" s="9" t="s">
        <v>251</v>
      </c>
      <c r="E304" s="9" t="s">
        <v>261</v>
      </c>
      <c r="F304" s="9" t="s">
        <v>287</v>
      </c>
      <c r="G304" s="10">
        <v>0.4</v>
      </c>
      <c r="H304" s="15">
        <v>90</v>
      </c>
      <c r="I304" s="15">
        <v>78</v>
      </c>
      <c r="J304" s="15">
        <v>32</v>
      </c>
      <c r="K304" s="15">
        <v>258.5</v>
      </c>
    </row>
    <row r="305" spans="1:11" ht="15" customHeight="1" x14ac:dyDescent="0.2">
      <c r="A305" s="9" t="s">
        <v>357</v>
      </c>
      <c r="B305" s="9" t="s">
        <v>1568</v>
      </c>
      <c r="C305" s="9" t="s">
        <v>240</v>
      </c>
      <c r="D305" s="9" t="s">
        <v>251</v>
      </c>
      <c r="E305" s="9" t="s">
        <v>261</v>
      </c>
      <c r="F305" s="9" t="s">
        <v>287</v>
      </c>
      <c r="G305" s="10">
        <v>0.35</v>
      </c>
      <c r="H305" s="15">
        <v>60</v>
      </c>
      <c r="I305" s="15">
        <v>38</v>
      </c>
      <c r="J305" s="15">
        <v>40</v>
      </c>
      <c r="K305" s="15">
        <v>91.3</v>
      </c>
    </row>
    <row r="306" spans="1:11" ht="15" customHeight="1" x14ac:dyDescent="0.2">
      <c r="A306" s="9" t="s">
        <v>358</v>
      </c>
      <c r="B306" s="9" t="s">
        <v>1568</v>
      </c>
      <c r="C306" s="9" t="s">
        <v>240</v>
      </c>
      <c r="D306" s="9" t="s">
        <v>251</v>
      </c>
      <c r="E306" s="9" t="s">
        <v>261</v>
      </c>
      <c r="F306" s="9" t="s">
        <v>287</v>
      </c>
      <c r="G306" s="10">
        <v>0.6</v>
      </c>
      <c r="H306" s="15">
        <v>70</v>
      </c>
      <c r="I306" s="15">
        <v>45</v>
      </c>
      <c r="J306" s="15">
        <v>21</v>
      </c>
      <c r="K306" s="15">
        <v>65.400000000000006</v>
      </c>
    </row>
    <row r="307" spans="1:11" ht="15" customHeight="1" x14ac:dyDescent="0.2">
      <c r="A307" s="9" t="s">
        <v>359</v>
      </c>
      <c r="B307" s="9" t="s">
        <v>1568</v>
      </c>
      <c r="C307" s="9" t="s">
        <v>240</v>
      </c>
      <c r="D307" s="9" t="s">
        <v>251</v>
      </c>
      <c r="E307" s="9" t="s">
        <v>260</v>
      </c>
      <c r="F307" s="9" t="s">
        <v>287</v>
      </c>
      <c r="G307" s="10">
        <v>0.9</v>
      </c>
      <c r="H307" s="15">
        <v>71</v>
      </c>
      <c r="I307" s="15">
        <v>50</v>
      </c>
      <c r="J307" s="15">
        <v>36</v>
      </c>
      <c r="K307" s="15">
        <v>158.19999999999999</v>
      </c>
    </row>
    <row r="308" spans="1:11" ht="15" customHeight="1" x14ac:dyDescent="0.2">
      <c r="A308" s="9" t="s">
        <v>360</v>
      </c>
      <c r="B308" s="9" t="s">
        <v>1568</v>
      </c>
      <c r="C308" s="9" t="s">
        <v>240</v>
      </c>
      <c r="D308" s="9" t="s">
        <v>251</v>
      </c>
      <c r="E308" s="9" t="s">
        <v>261</v>
      </c>
      <c r="F308" s="9" t="s">
        <v>287</v>
      </c>
      <c r="G308" s="10">
        <v>0.4</v>
      </c>
      <c r="H308" s="15">
        <v>56</v>
      </c>
      <c r="I308" s="15">
        <v>47</v>
      </c>
      <c r="J308" s="15">
        <v>24</v>
      </c>
      <c r="K308" s="15">
        <v>59.2</v>
      </c>
    </row>
    <row r="309" spans="1:11" ht="15" customHeight="1" x14ac:dyDescent="0.2">
      <c r="A309" s="9" t="s">
        <v>361</v>
      </c>
      <c r="B309" s="9" t="s">
        <v>1568</v>
      </c>
      <c r="C309" s="9" t="s">
        <v>240</v>
      </c>
      <c r="D309" s="9" t="s">
        <v>251</v>
      </c>
      <c r="E309" s="9" t="s">
        <v>261</v>
      </c>
      <c r="F309" s="9" t="s">
        <v>287</v>
      </c>
      <c r="G309" s="10">
        <v>0.6</v>
      </c>
      <c r="H309" s="15">
        <v>48</v>
      </c>
      <c r="I309" s="15">
        <v>46</v>
      </c>
      <c r="J309" s="15">
        <v>22</v>
      </c>
      <c r="K309" s="15">
        <v>54.9</v>
      </c>
    </row>
    <row r="310" spans="1:11" ht="15" customHeight="1" x14ac:dyDescent="0.2">
      <c r="A310" s="9" t="s">
        <v>362</v>
      </c>
      <c r="B310" s="9" t="s">
        <v>1568</v>
      </c>
      <c r="C310" s="9" t="s">
        <v>240</v>
      </c>
      <c r="D310" s="9" t="s">
        <v>751</v>
      </c>
      <c r="E310" s="9" t="s">
        <v>261</v>
      </c>
      <c r="F310" s="9" t="s">
        <v>287</v>
      </c>
      <c r="G310" s="10">
        <v>0.6</v>
      </c>
      <c r="H310" s="15">
        <v>80</v>
      </c>
      <c r="I310" s="15">
        <v>61</v>
      </c>
      <c r="J310" s="15">
        <v>28</v>
      </c>
      <c r="K310" s="15">
        <v>129.80000000000001</v>
      </c>
    </row>
    <row r="311" spans="1:11" ht="15" customHeight="1" x14ac:dyDescent="0.2">
      <c r="A311" s="9" t="s">
        <v>363</v>
      </c>
      <c r="B311" s="9" t="s">
        <v>1568</v>
      </c>
      <c r="C311" s="9" t="s">
        <v>240</v>
      </c>
      <c r="D311" s="9" t="s">
        <v>251</v>
      </c>
      <c r="E311" s="9" t="s">
        <v>261</v>
      </c>
      <c r="F311" s="9" t="s">
        <v>287</v>
      </c>
      <c r="G311" s="10">
        <v>0.7</v>
      </c>
      <c r="H311" s="15">
        <v>65</v>
      </c>
      <c r="I311" s="15">
        <v>63</v>
      </c>
      <c r="J311" s="15">
        <v>38</v>
      </c>
      <c r="K311" s="15">
        <v>185.6</v>
      </c>
    </row>
    <row r="312" spans="1:11" ht="15" customHeight="1" x14ac:dyDescent="0.2">
      <c r="A312" s="9" t="s">
        <v>364</v>
      </c>
      <c r="B312" s="9" t="s">
        <v>1568</v>
      </c>
      <c r="C312" s="9" t="s">
        <v>240</v>
      </c>
      <c r="D312" s="9" t="s">
        <v>258</v>
      </c>
      <c r="E312" s="9" t="s">
        <v>262</v>
      </c>
      <c r="F312" s="9" t="s">
        <v>287</v>
      </c>
      <c r="G312" s="10">
        <v>0.9</v>
      </c>
      <c r="H312" s="15">
        <v>75</v>
      </c>
      <c r="I312" s="15">
        <v>53</v>
      </c>
      <c r="J312" s="15">
        <v>25</v>
      </c>
      <c r="K312" s="15">
        <v>134.4</v>
      </c>
    </row>
    <row r="313" spans="1:11" ht="15" customHeight="1" x14ac:dyDescent="0.2">
      <c r="A313" s="9" t="s">
        <v>365</v>
      </c>
      <c r="B313" s="9" t="s">
        <v>1568</v>
      </c>
      <c r="C313" s="9" t="s">
        <v>240</v>
      </c>
      <c r="D313" s="9" t="s">
        <v>251</v>
      </c>
      <c r="E313" s="9" t="s">
        <v>261</v>
      </c>
      <c r="F313" s="9" t="s">
        <v>287</v>
      </c>
      <c r="G313" s="10">
        <v>0.6</v>
      </c>
      <c r="H313" s="15">
        <v>79</v>
      </c>
      <c r="I313" s="15">
        <v>64</v>
      </c>
      <c r="J313" s="15">
        <v>25</v>
      </c>
      <c r="K313" s="15">
        <v>150.5</v>
      </c>
    </row>
    <row r="314" spans="1:11" ht="15" customHeight="1" x14ac:dyDescent="0.2">
      <c r="A314" s="9" t="s">
        <v>366</v>
      </c>
      <c r="B314" s="9" t="s">
        <v>1568</v>
      </c>
      <c r="C314" s="9" t="s">
        <v>240</v>
      </c>
      <c r="D314" s="9" t="s">
        <v>251</v>
      </c>
      <c r="E314" s="9" t="s">
        <v>261</v>
      </c>
      <c r="F314" s="9" t="s">
        <v>287</v>
      </c>
      <c r="G314" s="10">
        <v>0.3</v>
      </c>
      <c r="H314" s="15">
        <v>60</v>
      </c>
      <c r="I314" s="15">
        <v>54</v>
      </c>
      <c r="J314" s="15">
        <v>18</v>
      </c>
      <c r="K314" s="15">
        <v>70.8</v>
      </c>
    </row>
    <row r="315" spans="1:11" ht="15" customHeight="1" x14ac:dyDescent="0.2">
      <c r="A315" s="9" t="s">
        <v>367</v>
      </c>
      <c r="B315" s="9" t="s">
        <v>1568</v>
      </c>
      <c r="C315" s="9" t="s">
        <v>240</v>
      </c>
      <c r="D315" s="9" t="s">
        <v>258</v>
      </c>
      <c r="E315" s="9" t="s">
        <v>261</v>
      </c>
      <c r="F315" s="9" t="s">
        <v>287</v>
      </c>
      <c r="G315" s="10">
        <v>0.3</v>
      </c>
      <c r="H315" s="15">
        <v>67</v>
      </c>
      <c r="I315" s="15">
        <v>63</v>
      </c>
      <c r="J315" s="15">
        <v>28</v>
      </c>
      <c r="K315" s="15">
        <v>112</v>
      </c>
    </row>
    <row r="316" spans="1:11" ht="15" customHeight="1" x14ac:dyDescent="0.2">
      <c r="A316" s="9" t="s">
        <v>594</v>
      </c>
      <c r="B316" s="9" t="s">
        <v>1568</v>
      </c>
      <c r="C316" s="9" t="s">
        <v>239</v>
      </c>
      <c r="D316" s="9" t="s">
        <v>258</v>
      </c>
      <c r="E316" s="9" t="s">
        <v>261</v>
      </c>
      <c r="F316" s="9" t="s">
        <v>287</v>
      </c>
      <c r="G316" s="10">
        <v>0.55000000000000004</v>
      </c>
      <c r="H316" s="15">
        <v>89</v>
      </c>
      <c r="I316" s="15">
        <v>79</v>
      </c>
      <c r="J316" s="15">
        <v>42</v>
      </c>
      <c r="K316" s="15">
        <v>330</v>
      </c>
    </row>
    <row r="317" spans="1:11" ht="15" customHeight="1" x14ac:dyDescent="0.2">
      <c r="A317" s="9" t="s">
        <v>595</v>
      </c>
      <c r="B317" s="9" t="s">
        <v>1568</v>
      </c>
      <c r="C317" s="9" t="s">
        <v>239</v>
      </c>
      <c r="D317" s="9" t="s">
        <v>258</v>
      </c>
      <c r="E317" s="9" t="s">
        <v>261</v>
      </c>
      <c r="F317" s="9" t="s">
        <v>287</v>
      </c>
      <c r="G317" s="10">
        <v>0.4</v>
      </c>
      <c r="H317" s="15">
        <v>81</v>
      </c>
      <c r="I317" s="15">
        <v>70</v>
      </c>
      <c r="J317" s="15">
        <v>40</v>
      </c>
      <c r="K317" s="15">
        <v>245</v>
      </c>
    </row>
    <row r="318" spans="1:11" ht="15" customHeight="1" x14ac:dyDescent="0.2">
      <c r="A318" s="9" t="s">
        <v>596</v>
      </c>
      <c r="B318" s="9" t="s">
        <v>1568</v>
      </c>
      <c r="C318" s="9" t="s">
        <v>239</v>
      </c>
      <c r="D318" s="9" t="s">
        <v>258</v>
      </c>
      <c r="E318" s="9" t="s">
        <v>261</v>
      </c>
      <c r="F318" s="9" t="s">
        <v>287</v>
      </c>
      <c r="G318" s="10">
        <v>0</v>
      </c>
      <c r="H318" s="15">
        <v>66</v>
      </c>
      <c r="I318" s="15">
        <v>43</v>
      </c>
      <c r="J318" s="15">
        <v>27</v>
      </c>
      <c r="K318" s="15">
        <v>110.7</v>
      </c>
    </row>
    <row r="319" spans="1:11" ht="15" customHeight="1" x14ac:dyDescent="0.2">
      <c r="A319" s="9" t="s">
        <v>597</v>
      </c>
      <c r="B319" s="9" t="s">
        <v>1568</v>
      </c>
      <c r="C319" s="9" t="s">
        <v>239</v>
      </c>
      <c r="D319" s="9" t="s">
        <v>251</v>
      </c>
      <c r="E319" s="9" t="s">
        <v>261</v>
      </c>
      <c r="F319" s="9" t="s">
        <v>287</v>
      </c>
      <c r="G319" s="10">
        <v>0.4</v>
      </c>
      <c r="H319" s="15">
        <v>68</v>
      </c>
      <c r="I319" s="15">
        <v>45</v>
      </c>
      <c r="J319" s="15">
        <v>17</v>
      </c>
      <c r="K319" s="15">
        <v>60</v>
      </c>
    </row>
    <row r="320" spans="1:11" ht="15" customHeight="1" x14ac:dyDescent="0.2">
      <c r="A320" s="9" t="s">
        <v>598</v>
      </c>
      <c r="B320" s="9" t="s">
        <v>1568</v>
      </c>
      <c r="C320" s="9" t="s">
        <v>240</v>
      </c>
      <c r="D320" s="9" t="s">
        <v>258</v>
      </c>
      <c r="E320" s="9" t="s">
        <v>261</v>
      </c>
      <c r="F320" s="9" t="s">
        <v>287</v>
      </c>
      <c r="G320" s="10">
        <v>0.8</v>
      </c>
      <c r="H320" s="15">
        <v>36</v>
      </c>
      <c r="I320" s="15">
        <v>50</v>
      </c>
      <c r="J320" s="15">
        <v>21</v>
      </c>
      <c r="K320" s="15">
        <v>97.3</v>
      </c>
    </row>
    <row r="321" spans="1:11" ht="15" customHeight="1" x14ac:dyDescent="0.2">
      <c r="A321" s="9" t="s">
        <v>599</v>
      </c>
      <c r="B321" s="9" t="s">
        <v>1568</v>
      </c>
      <c r="C321" s="9" t="s">
        <v>240</v>
      </c>
      <c r="D321" s="9" t="s">
        <v>251</v>
      </c>
      <c r="E321" s="9" t="s">
        <v>261</v>
      </c>
      <c r="F321" s="9" t="s">
        <v>287</v>
      </c>
      <c r="G321" s="10">
        <v>0.45</v>
      </c>
      <c r="H321" s="15">
        <v>62</v>
      </c>
      <c r="I321" s="15">
        <v>45</v>
      </c>
      <c r="J321" s="15">
        <v>40</v>
      </c>
      <c r="K321" s="15">
        <v>170</v>
      </c>
    </row>
    <row r="322" spans="1:11" ht="15" customHeight="1" x14ac:dyDescent="0.2">
      <c r="A322" s="9" t="s">
        <v>600</v>
      </c>
      <c r="B322" s="9" t="s">
        <v>1568</v>
      </c>
      <c r="C322" s="9" t="s">
        <v>240</v>
      </c>
      <c r="D322" s="9" t="s">
        <v>258</v>
      </c>
      <c r="E322" s="9" t="s">
        <v>261</v>
      </c>
      <c r="F322" s="9" t="s">
        <v>287</v>
      </c>
      <c r="G322" s="10">
        <v>0.1</v>
      </c>
      <c r="H322" s="15">
        <v>67</v>
      </c>
      <c r="I322" s="15">
        <v>54</v>
      </c>
      <c r="J322" s="15">
        <v>49</v>
      </c>
      <c r="K322" s="15">
        <v>146</v>
      </c>
    </row>
    <row r="323" spans="1:11" ht="15" customHeight="1" x14ac:dyDescent="0.2">
      <c r="A323" s="9" t="s">
        <v>601</v>
      </c>
      <c r="B323" s="9" t="s">
        <v>1568</v>
      </c>
      <c r="C323" s="9" t="s">
        <v>240</v>
      </c>
      <c r="D323" s="9" t="s">
        <v>251</v>
      </c>
      <c r="E323" s="9" t="s">
        <v>261</v>
      </c>
      <c r="F323" s="9" t="s">
        <v>287</v>
      </c>
      <c r="G323" s="10">
        <v>0.2</v>
      </c>
      <c r="H323" s="15">
        <v>43</v>
      </c>
      <c r="I323" s="15">
        <v>30</v>
      </c>
      <c r="J323" s="15">
        <v>12</v>
      </c>
      <c r="K323" s="15">
        <v>11.8</v>
      </c>
    </row>
    <row r="324" spans="1:11" ht="15" customHeight="1" x14ac:dyDescent="0.2">
      <c r="A324" s="9" t="s">
        <v>602</v>
      </c>
      <c r="B324" s="9" t="s">
        <v>1568</v>
      </c>
      <c r="C324" s="9" t="s">
        <v>240</v>
      </c>
      <c r="D324" s="9" t="s">
        <v>254</v>
      </c>
      <c r="E324" s="9" t="s">
        <v>261</v>
      </c>
      <c r="F324" s="9" t="s">
        <v>287</v>
      </c>
      <c r="G324" s="10">
        <v>0.4</v>
      </c>
      <c r="H324" s="15">
        <v>64</v>
      </c>
      <c r="I324" s="15">
        <v>46</v>
      </c>
      <c r="J324" s="15">
        <v>46</v>
      </c>
      <c r="K324" s="15">
        <v>140</v>
      </c>
    </row>
    <row r="325" spans="1:11" ht="15" customHeight="1" x14ac:dyDescent="0.2">
      <c r="A325" s="9" t="s">
        <v>603</v>
      </c>
      <c r="B325" s="9" t="s">
        <v>1568</v>
      </c>
      <c r="C325" s="9" t="s">
        <v>240</v>
      </c>
      <c r="D325" s="9" t="s">
        <v>251</v>
      </c>
      <c r="E325" s="9" t="s">
        <v>262</v>
      </c>
      <c r="F325" s="9" t="s">
        <v>287</v>
      </c>
      <c r="G325" s="10">
        <v>0.6</v>
      </c>
      <c r="H325" s="15">
        <v>62</v>
      </c>
      <c r="I325" s="15">
        <v>36</v>
      </c>
      <c r="J325" s="15">
        <v>29</v>
      </c>
      <c r="K325" s="15">
        <v>70.3</v>
      </c>
    </row>
    <row r="326" spans="1:11" ht="15" customHeight="1" x14ac:dyDescent="0.2">
      <c r="A326" s="9" t="s">
        <v>604</v>
      </c>
      <c r="B326" s="9" t="s">
        <v>1568</v>
      </c>
      <c r="C326" s="9" t="s">
        <v>240</v>
      </c>
      <c r="D326" s="9" t="s">
        <v>258</v>
      </c>
      <c r="E326" s="9" t="s">
        <v>261</v>
      </c>
      <c r="F326" s="9" t="s">
        <v>287</v>
      </c>
      <c r="G326" s="10">
        <v>0.7</v>
      </c>
      <c r="H326" s="15">
        <v>61</v>
      </c>
      <c r="I326" s="15">
        <v>54</v>
      </c>
      <c r="J326" s="15">
        <v>36</v>
      </c>
      <c r="K326" s="15">
        <v>144.80000000000001</v>
      </c>
    </row>
    <row r="327" spans="1:11" ht="15" customHeight="1" x14ac:dyDescent="0.2">
      <c r="A327" s="9" t="s">
        <v>605</v>
      </c>
      <c r="B327" s="9" t="s">
        <v>1568</v>
      </c>
      <c r="C327" s="9" t="s">
        <v>240</v>
      </c>
      <c r="D327" s="9" t="s">
        <v>253</v>
      </c>
      <c r="E327" s="9" t="s">
        <v>261</v>
      </c>
      <c r="F327" s="9" t="s">
        <v>287</v>
      </c>
      <c r="G327" s="10">
        <v>0</v>
      </c>
      <c r="H327" s="15">
        <v>58</v>
      </c>
      <c r="I327" s="15">
        <v>30</v>
      </c>
      <c r="J327" s="15">
        <v>32</v>
      </c>
      <c r="K327" s="15">
        <v>62.1</v>
      </c>
    </row>
    <row r="328" spans="1:11" ht="15" customHeight="1" x14ac:dyDescent="0.2">
      <c r="A328" s="9" t="s">
        <v>606</v>
      </c>
      <c r="B328" s="9" t="s">
        <v>1568</v>
      </c>
      <c r="C328" s="9" t="s">
        <v>240</v>
      </c>
      <c r="D328" s="9" t="s">
        <v>251</v>
      </c>
      <c r="E328" s="9" t="s">
        <v>262</v>
      </c>
      <c r="F328" s="9" t="s">
        <v>287</v>
      </c>
      <c r="G328" s="10">
        <v>0.4</v>
      </c>
      <c r="H328" s="15">
        <v>52</v>
      </c>
      <c r="I328" s="15">
        <v>44</v>
      </c>
      <c r="J328" s="15">
        <v>19</v>
      </c>
      <c r="K328" s="15">
        <v>46</v>
      </c>
    </row>
    <row r="329" spans="1:11" ht="15" customHeight="1" x14ac:dyDescent="0.2">
      <c r="A329" s="9" t="s">
        <v>607</v>
      </c>
      <c r="B329" s="9" t="s">
        <v>1568</v>
      </c>
      <c r="C329" s="9" t="s">
        <v>240</v>
      </c>
      <c r="D329" s="9" t="s">
        <v>254</v>
      </c>
      <c r="E329" s="9" t="s">
        <v>261</v>
      </c>
      <c r="F329" s="9" t="s">
        <v>287</v>
      </c>
      <c r="G329" s="10">
        <v>0.4</v>
      </c>
      <c r="H329" s="15">
        <v>40</v>
      </c>
      <c r="I329" s="15">
        <v>39</v>
      </c>
      <c r="J329" s="15">
        <v>20</v>
      </c>
      <c r="K329" s="15">
        <v>34</v>
      </c>
    </row>
    <row r="330" spans="1:11" ht="15" customHeight="1" x14ac:dyDescent="0.2">
      <c r="A330" s="9" t="s">
        <v>608</v>
      </c>
      <c r="B330" s="9" t="s">
        <v>1568</v>
      </c>
      <c r="C330" s="9" t="s">
        <v>240</v>
      </c>
      <c r="D330" s="9" t="s">
        <v>251</v>
      </c>
      <c r="E330" s="9" t="s">
        <v>261</v>
      </c>
      <c r="F330" s="9" t="s">
        <v>287</v>
      </c>
      <c r="G330" s="10">
        <v>0.55000000000000004</v>
      </c>
      <c r="H330" s="15">
        <v>50</v>
      </c>
      <c r="I330" s="15">
        <v>30</v>
      </c>
      <c r="J330" s="15">
        <v>22</v>
      </c>
      <c r="K330" s="15">
        <v>34.1</v>
      </c>
    </row>
    <row r="331" spans="1:11" ht="15" customHeight="1" x14ac:dyDescent="0.2">
      <c r="A331" s="9" t="s">
        <v>609</v>
      </c>
      <c r="B331" s="9" t="s">
        <v>1568</v>
      </c>
      <c r="C331" s="9" t="s">
        <v>240</v>
      </c>
      <c r="D331" s="9" t="s">
        <v>258</v>
      </c>
      <c r="E331" s="9" t="s">
        <v>261</v>
      </c>
      <c r="F331" s="9" t="s">
        <v>287</v>
      </c>
      <c r="G331" s="10">
        <v>0.3</v>
      </c>
      <c r="H331" s="15">
        <v>59</v>
      </c>
      <c r="I331" s="15">
        <v>43</v>
      </c>
      <c r="J331" s="15">
        <v>22</v>
      </c>
      <c r="K331" s="15">
        <v>62.4</v>
      </c>
    </row>
    <row r="332" spans="1:11" ht="15" customHeight="1" x14ac:dyDescent="0.2">
      <c r="A332" s="9" t="s">
        <v>610</v>
      </c>
      <c r="B332" s="9" t="s">
        <v>1568</v>
      </c>
      <c r="C332" s="9" t="s">
        <v>249</v>
      </c>
      <c r="D332" s="9" t="s">
        <v>251</v>
      </c>
      <c r="E332" s="9" t="s">
        <v>261</v>
      </c>
      <c r="F332" s="9" t="s">
        <v>287</v>
      </c>
      <c r="G332" s="10">
        <v>0.3</v>
      </c>
      <c r="H332" s="15">
        <v>56</v>
      </c>
      <c r="I332" s="15">
        <v>36</v>
      </c>
      <c r="J332" s="15">
        <v>29</v>
      </c>
      <c r="K332" s="15">
        <v>64.900000000000006</v>
      </c>
    </row>
    <row r="333" spans="1:11" ht="15" customHeight="1" x14ac:dyDescent="0.2">
      <c r="A333" s="9" t="s">
        <v>611</v>
      </c>
      <c r="B333" s="9" t="s">
        <v>1568</v>
      </c>
      <c r="C333" s="9" t="s">
        <v>249</v>
      </c>
      <c r="D333" s="9" t="s">
        <v>258</v>
      </c>
      <c r="E333" s="9" t="s">
        <v>261</v>
      </c>
      <c r="F333" s="9" t="s">
        <v>287</v>
      </c>
      <c r="G333" s="10">
        <v>0.55000000000000004</v>
      </c>
      <c r="H333" s="15">
        <v>54</v>
      </c>
      <c r="I333" s="15">
        <v>42</v>
      </c>
      <c r="J333" s="15">
        <v>40</v>
      </c>
      <c r="K333" s="15">
        <v>100.7</v>
      </c>
    </row>
    <row r="334" spans="1:11" ht="15" customHeight="1" x14ac:dyDescent="0.2">
      <c r="A334" s="9" t="s">
        <v>612</v>
      </c>
      <c r="B334" s="9" t="s">
        <v>1568</v>
      </c>
      <c r="C334" s="9" t="s">
        <v>249</v>
      </c>
      <c r="D334" s="9" t="s">
        <v>253</v>
      </c>
      <c r="E334" s="9" t="s">
        <v>262</v>
      </c>
      <c r="F334" s="9" t="s">
        <v>287</v>
      </c>
      <c r="G334" s="10">
        <v>0.4</v>
      </c>
      <c r="H334" s="15">
        <v>70</v>
      </c>
      <c r="I334" s="15">
        <v>54</v>
      </c>
      <c r="J334" s="15">
        <v>27</v>
      </c>
      <c r="K334" s="15">
        <v>98.8</v>
      </c>
    </row>
    <row r="335" spans="1:11" ht="15" customHeight="1" x14ac:dyDescent="0.2">
      <c r="A335" s="9" t="s">
        <v>613</v>
      </c>
      <c r="B335" s="9" t="s">
        <v>1568</v>
      </c>
      <c r="C335" s="9" t="s">
        <v>249</v>
      </c>
      <c r="D335" s="9" t="s">
        <v>253</v>
      </c>
      <c r="E335" s="9" t="s">
        <v>261</v>
      </c>
      <c r="F335" s="9" t="s">
        <v>287</v>
      </c>
      <c r="G335" s="10">
        <v>0.55000000000000004</v>
      </c>
      <c r="H335" s="15">
        <v>61</v>
      </c>
      <c r="I335" s="15">
        <v>46</v>
      </c>
      <c r="J335" s="15">
        <v>49</v>
      </c>
      <c r="K335" s="15">
        <v>63.4</v>
      </c>
    </row>
    <row r="336" spans="1:11" ht="15" customHeight="1" x14ac:dyDescent="0.2">
      <c r="A336" s="9" t="s">
        <v>653</v>
      </c>
      <c r="B336" s="9" t="s">
        <v>1568</v>
      </c>
      <c r="C336" s="9" t="s">
        <v>239</v>
      </c>
      <c r="D336" s="9" t="s">
        <v>251</v>
      </c>
      <c r="E336" s="9" t="s">
        <v>260</v>
      </c>
      <c r="F336" s="9" t="s">
        <v>287</v>
      </c>
      <c r="G336" s="10">
        <v>0.8</v>
      </c>
      <c r="H336" s="15">
        <v>55</v>
      </c>
      <c r="I336" s="15">
        <v>45</v>
      </c>
      <c r="J336" s="15">
        <v>26</v>
      </c>
      <c r="K336" s="15">
        <v>94.9</v>
      </c>
    </row>
    <row r="337" spans="1:11" ht="15" customHeight="1" x14ac:dyDescent="0.2">
      <c r="A337" s="9" t="s">
        <v>654</v>
      </c>
      <c r="B337" s="9" t="s">
        <v>1568</v>
      </c>
      <c r="C337" s="9" t="s">
        <v>240</v>
      </c>
      <c r="D337" s="9" t="s">
        <v>251</v>
      </c>
      <c r="E337" s="9" t="s">
        <v>261</v>
      </c>
      <c r="F337" s="9" t="s">
        <v>287</v>
      </c>
      <c r="G337" s="10">
        <v>0.7</v>
      </c>
      <c r="H337" s="15">
        <v>65</v>
      </c>
      <c r="I337" s="15">
        <v>44</v>
      </c>
      <c r="J337" s="15">
        <v>35</v>
      </c>
      <c r="K337" s="15">
        <v>130.1</v>
      </c>
    </row>
    <row r="338" spans="1:11" ht="15" customHeight="1" x14ac:dyDescent="0.2">
      <c r="A338" s="9" t="s">
        <v>655</v>
      </c>
      <c r="B338" s="9" t="s">
        <v>1568</v>
      </c>
      <c r="C338" s="9" t="s">
        <v>240</v>
      </c>
      <c r="D338" s="9" t="s">
        <v>251</v>
      </c>
      <c r="E338" s="9" t="s">
        <v>261</v>
      </c>
      <c r="F338" s="9" t="s">
        <v>287</v>
      </c>
      <c r="G338" s="10">
        <v>0.8</v>
      </c>
      <c r="H338" s="15">
        <v>63</v>
      </c>
      <c r="I338" s="15">
        <v>53</v>
      </c>
      <c r="J338" s="15">
        <v>28</v>
      </c>
      <c r="K338" s="15">
        <v>121.2</v>
      </c>
    </row>
    <row r="339" spans="1:11" ht="15" customHeight="1" x14ac:dyDescent="0.2">
      <c r="A339" s="9" t="s">
        <v>656</v>
      </c>
      <c r="B339" s="9" t="s">
        <v>1568</v>
      </c>
      <c r="C339" s="9" t="s">
        <v>240</v>
      </c>
      <c r="D339" s="9" t="s">
        <v>251</v>
      </c>
      <c r="E339" s="9" t="s">
        <v>262</v>
      </c>
      <c r="F339" s="9" t="s">
        <v>287</v>
      </c>
      <c r="G339" s="10">
        <v>0.5</v>
      </c>
      <c r="H339" s="15">
        <v>64</v>
      </c>
      <c r="I339" s="15">
        <v>51</v>
      </c>
      <c r="J339" s="15">
        <v>23</v>
      </c>
      <c r="K339" s="15">
        <v>74.8</v>
      </c>
    </row>
    <row r="340" spans="1:11" ht="15" customHeight="1" x14ac:dyDescent="0.2">
      <c r="A340" s="9" t="s">
        <v>657</v>
      </c>
      <c r="B340" s="9" t="s">
        <v>1568</v>
      </c>
      <c r="C340" s="9" t="s">
        <v>240</v>
      </c>
      <c r="D340" s="9" t="s">
        <v>251</v>
      </c>
      <c r="E340" s="9" t="s">
        <v>261</v>
      </c>
      <c r="F340" s="9" t="s">
        <v>287</v>
      </c>
      <c r="G340" s="10">
        <v>0</v>
      </c>
      <c r="H340" s="15">
        <v>60</v>
      </c>
      <c r="I340" s="15">
        <v>44</v>
      </c>
      <c r="J340" s="15">
        <v>22</v>
      </c>
      <c r="K340" s="15">
        <v>60.4</v>
      </c>
    </row>
    <row r="341" spans="1:11" ht="15" customHeight="1" x14ac:dyDescent="0.2">
      <c r="A341" s="9" t="s">
        <v>658</v>
      </c>
      <c r="B341" s="9" t="s">
        <v>1568</v>
      </c>
      <c r="C341" s="9" t="s">
        <v>240</v>
      </c>
      <c r="D341" s="9" t="s">
        <v>251</v>
      </c>
      <c r="E341" s="9" t="s">
        <v>260</v>
      </c>
      <c r="F341" s="9" t="s">
        <v>287</v>
      </c>
      <c r="G341" s="10">
        <v>0.35</v>
      </c>
      <c r="H341" s="15">
        <v>53</v>
      </c>
      <c r="I341" s="15">
        <v>42</v>
      </c>
      <c r="J341" s="15">
        <v>35</v>
      </c>
      <c r="K341" s="15">
        <v>71.3</v>
      </c>
    </row>
    <row r="342" spans="1:11" ht="15" customHeight="1" x14ac:dyDescent="0.2">
      <c r="A342" s="9" t="s">
        <v>659</v>
      </c>
      <c r="B342" s="9" t="s">
        <v>1568</v>
      </c>
      <c r="C342" s="9" t="s">
        <v>240</v>
      </c>
      <c r="D342" s="9" t="s">
        <v>251</v>
      </c>
      <c r="E342" s="9" t="s">
        <v>261</v>
      </c>
      <c r="F342" s="9" t="s">
        <v>287</v>
      </c>
      <c r="G342" s="10">
        <v>0.45</v>
      </c>
      <c r="H342" s="15">
        <v>64</v>
      </c>
      <c r="I342" s="15">
        <v>50</v>
      </c>
      <c r="J342" s="15">
        <v>24</v>
      </c>
      <c r="K342" s="15">
        <v>88.3</v>
      </c>
    </row>
    <row r="343" spans="1:11" ht="15" customHeight="1" x14ac:dyDescent="0.2">
      <c r="A343" s="9" t="s">
        <v>660</v>
      </c>
      <c r="B343" s="9" t="s">
        <v>1568</v>
      </c>
      <c r="C343" s="9" t="s">
        <v>240</v>
      </c>
      <c r="D343" s="9" t="s">
        <v>251</v>
      </c>
      <c r="E343" s="9" t="s">
        <v>262</v>
      </c>
      <c r="F343" s="9" t="s">
        <v>287</v>
      </c>
      <c r="G343" s="10">
        <v>0.4</v>
      </c>
      <c r="H343" s="15">
        <v>59</v>
      </c>
      <c r="I343" s="15">
        <v>54</v>
      </c>
      <c r="J343" s="15">
        <v>37</v>
      </c>
      <c r="K343" s="15">
        <v>87.9</v>
      </c>
    </row>
    <row r="344" spans="1:11" ht="15" customHeight="1" x14ac:dyDescent="0.2">
      <c r="A344" s="9" t="s">
        <v>661</v>
      </c>
      <c r="B344" s="9" t="s">
        <v>1568</v>
      </c>
      <c r="C344" s="9" t="s">
        <v>240</v>
      </c>
      <c r="D344" s="9" t="s">
        <v>251</v>
      </c>
      <c r="E344" s="9" t="s">
        <v>260</v>
      </c>
      <c r="F344" s="9" t="s">
        <v>287</v>
      </c>
      <c r="G344" s="10">
        <v>0.8</v>
      </c>
      <c r="H344" s="15">
        <v>50</v>
      </c>
      <c r="I344" s="15">
        <v>40</v>
      </c>
      <c r="J344" s="15">
        <v>25</v>
      </c>
      <c r="K344" s="15">
        <v>85.6</v>
      </c>
    </row>
    <row r="345" spans="1:11" ht="15" customHeight="1" x14ac:dyDescent="0.2">
      <c r="A345" s="9" t="s">
        <v>662</v>
      </c>
      <c r="B345" s="9" t="s">
        <v>1568</v>
      </c>
      <c r="C345" s="9" t="s">
        <v>240</v>
      </c>
      <c r="D345" s="9" t="s">
        <v>251</v>
      </c>
      <c r="E345" s="9" t="s">
        <v>260</v>
      </c>
      <c r="F345" s="9" t="s">
        <v>287</v>
      </c>
      <c r="G345" s="10">
        <v>0.2</v>
      </c>
      <c r="H345" s="15">
        <v>44</v>
      </c>
      <c r="I345" s="15">
        <v>44</v>
      </c>
      <c r="J345" s="15">
        <v>23</v>
      </c>
      <c r="K345" s="15">
        <v>57.5</v>
      </c>
    </row>
    <row r="346" spans="1:11" ht="15" customHeight="1" x14ac:dyDescent="0.2">
      <c r="A346" s="9" t="s">
        <v>663</v>
      </c>
      <c r="B346" s="9" t="s">
        <v>1568</v>
      </c>
      <c r="C346" s="9" t="s">
        <v>240</v>
      </c>
      <c r="D346" s="9" t="s">
        <v>251</v>
      </c>
      <c r="E346" s="9" t="s">
        <v>261</v>
      </c>
      <c r="F346" s="9" t="s">
        <v>287</v>
      </c>
      <c r="G346" s="10">
        <v>0.3</v>
      </c>
      <c r="H346" s="15">
        <v>42</v>
      </c>
      <c r="I346" s="15">
        <v>40</v>
      </c>
      <c r="J346" s="15">
        <v>30</v>
      </c>
      <c r="K346" s="15">
        <v>54.3</v>
      </c>
    </row>
    <row r="347" spans="1:11" ht="15" customHeight="1" x14ac:dyDescent="0.2">
      <c r="A347" s="9" t="s">
        <v>664</v>
      </c>
      <c r="B347" s="9" t="s">
        <v>1568</v>
      </c>
      <c r="C347" s="9" t="s">
        <v>240</v>
      </c>
      <c r="D347" s="9" t="s">
        <v>251</v>
      </c>
      <c r="E347" s="9" t="s">
        <v>260</v>
      </c>
      <c r="F347" s="9" t="s">
        <v>287</v>
      </c>
      <c r="G347" s="10">
        <v>0.8</v>
      </c>
      <c r="H347" s="15">
        <v>51</v>
      </c>
      <c r="I347" s="15">
        <v>42</v>
      </c>
      <c r="J347" s="15">
        <v>21</v>
      </c>
      <c r="K347" s="15">
        <v>57.5</v>
      </c>
    </row>
    <row r="348" spans="1:11" ht="15" customHeight="1" x14ac:dyDescent="0.2">
      <c r="A348" s="9" t="s">
        <v>665</v>
      </c>
      <c r="B348" s="9" t="s">
        <v>1568</v>
      </c>
      <c r="C348" s="9" t="s">
        <v>240</v>
      </c>
      <c r="D348" s="9" t="s">
        <v>251</v>
      </c>
      <c r="E348" s="9" t="s">
        <v>261</v>
      </c>
      <c r="F348" s="9" t="s">
        <v>287</v>
      </c>
      <c r="G348" s="10">
        <v>0.6</v>
      </c>
      <c r="H348" s="15">
        <v>61</v>
      </c>
      <c r="I348" s="15">
        <v>44</v>
      </c>
      <c r="J348" s="15">
        <v>23</v>
      </c>
      <c r="K348" s="15">
        <v>73.599999999999994</v>
      </c>
    </row>
    <row r="349" spans="1:11" ht="15" customHeight="1" x14ac:dyDescent="0.2">
      <c r="A349" s="9" t="s">
        <v>666</v>
      </c>
      <c r="B349" s="9" t="s">
        <v>1568</v>
      </c>
      <c r="C349" s="9" t="s">
        <v>249</v>
      </c>
      <c r="D349" s="9" t="s">
        <v>251</v>
      </c>
      <c r="E349" s="9" t="s">
        <v>260</v>
      </c>
      <c r="F349" s="9" t="s">
        <v>287</v>
      </c>
      <c r="G349" s="10">
        <v>0.6</v>
      </c>
      <c r="H349" s="15">
        <v>83</v>
      </c>
      <c r="I349" s="15">
        <v>51</v>
      </c>
      <c r="J349" s="15">
        <v>32</v>
      </c>
      <c r="K349" s="15">
        <v>147.19999999999999</v>
      </c>
    </row>
    <row r="350" spans="1:11" ht="15" customHeight="1" x14ac:dyDescent="0.2">
      <c r="A350" s="9" t="s">
        <v>667</v>
      </c>
      <c r="B350" s="9" t="s">
        <v>1568</v>
      </c>
      <c r="C350" s="9" t="s">
        <v>249</v>
      </c>
      <c r="D350" s="9" t="s">
        <v>251</v>
      </c>
      <c r="E350" s="9" t="s">
        <v>262</v>
      </c>
      <c r="F350" s="9" t="s">
        <v>287</v>
      </c>
      <c r="G350" s="10">
        <v>0.2</v>
      </c>
      <c r="H350" s="15">
        <v>74</v>
      </c>
      <c r="I350" s="15">
        <v>51</v>
      </c>
      <c r="J350" s="15">
        <v>21</v>
      </c>
      <c r="K350" s="15">
        <v>114.1</v>
      </c>
    </row>
    <row r="351" spans="1:11" ht="15" customHeight="1" x14ac:dyDescent="0.2">
      <c r="A351" s="9" t="s">
        <v>696</v>
      </c>
      <c r="B351" s="9" t="s">
        <v>1568</v>
      </c>
      <c r="C351" s="9" t="s">
        <v>240</v>
      </c>
      <c r="D351" s="9" t="s">
        <v>251</v>
      </c>
      <c r="E351" s="9" t="s">
        <v>260</v>
      </c>
      <c r="F351" s="9" t="s">
        <v>287</v>
      </c>
      <c r="G351" s="10">
        <v>0.75</v>
      </c>
      <c r="H351" s="15">
        <v>61</v>
      </c>
      <c r="I351" s="15">
        <v>54</v>
      </c>
      <c r="J351" s="15">
        <v>30</v>
      </c>
      <c r="K351" s="15">
        <v>135.30000000000001</v>
      </c>
    </row>
    <row r="352" spans="1:11" ht="15" customHeight="1" x14ac:dyDescent="0.2">
      <c r="A352" s="9" t="s">
        <v>180</v>
      </c>
      <c r="B352" s="9" t="s">
        <v>1568</v>
      </c>
      <c r="C352" s="9" t="s">
        <v>249</v>
      </c>
      <c r="D352" s="9" t="s">
        <v>251</v>
      </c>
      <c r="E352" s="9" t="s">
        <v>261</v>
      </c>
      <c r="F352" s="9" t="s">
        <v>287</v>
      </c>
      <c r="G352" s="10">
        <v>0.6</v>
      </c>
      <c r="H352" s="15">
        <v>80</v>
      </c>
      <c r="I352" s="15">
        <v>71</v>
      </c>
      <c r="J352" s="15">
        <v>29</v>
      </c>
      <c r="K352" s="15">
        <v>176</v>
      </c>
    </row>
    <row r="353" spans="1:11" ht="15" customHeight="1" x14ac:dyDescent="0.2">
      <c r="A353" s="9" t="s">
        <v>743</v>
      </c>
      <c r="B353" s="9" t="s">
        <v>1568</v>
      </c>
      <c r="C353" s="9" t="s">
        <v>239</v>
      </c>
      <c r="D353" s="9" t="s">
        <v>251</v>
      </c>
      <c r="E353" s="9" t="s">
        <v>261</v>
      </c>
      <c r="F353" s="9" t="s">
        <v>287</v>
      </c>
      <c r="G353" s="10">
        <v>0.6</v>
      </c>
      <c r="H353" s="15">
        <v>86</v>
      </c>
      <c r="I353" s="15">
        <v>53</v>
      </c>
      <c r="J353" s="15">
        <v>36</v>
      </c>
      <c r="K353" s="15">
        <v>183.8</v>
      </c>
    </row>
    <row r="354" spans="1:11" ht="15" customHeight="1" x14ac:dyDescent="0.2">
      <c r="A354" s="9" t="s">
        <v>65</v>
      </c>
      <c r="B354" s="9" t="s">
        <v>1568</v>
      </c>
      <c r="C354" s="9" t="s">
        <v>239</v>
      </c>
      <c r="D354" s="9" t="s">
        <v>258</v>
      </c>
      <c r="E354" s="9" t="s">
        <v>708</v>
      </c>
      <c r="F354" s="9" t="s">
        <v>287</v>
      </c>
      <c r="G354" s="10">
        <v>0.3</v>
      </c>
      <c r="H354" s="15">
        <v>96</v>
      </c>
      <c r="I354" s="15">
        <v>68</v>
      </c>
      <c r="J354" s="15">
        <v>50</v>
      </c>
      <c r="K354" s="15">
        <v>330.6</v>
      </c>
    </row>
    <row r="355" spans="1:11" ht="15" customHeight="1" x14ac:dyDescent="0.2">
      <c r="A355" s="9" t="s">
        <v>772</v>
      </c>
      <c r="B355" s="9" t="s">
        <v>1568</v>
      </c>
      <c r="C355" s="9" t="s">
        <v>240</v>
      </c>
      <c r="D355" s="9" t="s">
        <v>253</v>
      </c>
      <c r="E355" s="9" t="s">
        <v>261</v>
      </c>
      <c r="F355" s="9" t="s">
        <v>287</v>
      </c>
      <c r="G355" s="10">
        <v>0.85</v>
      </c>
      <c r="H355" s="15">
        <v>67</v>
      </c>
      <c r="I355" s="15">
        <v>56</v>
      </c>
      <c r="J355" s="15">
        <v>25</v>
      </c>
      <c r="K355" s="15">
        <v>117.2</v>
      </c>
    </row>
    <row r="356" spans="1:11" ht="15" customHeight="1" x14ac:dyDescent="0.2">
      <c r="A356" s="9" t="s">
        <v>773</v>
      </c>
      <c r="B356" s="9" t="s">
        <v>1568</v>
      </c>
      <c r="C356" s="9" t="s">
        <v>249</v>
      </c>
      <c r="D356" s="9" t="s">
        <v>251</v>
      </c>
      <c r="E356" s="9" t="s">
        <v>262</v>
      </c>
      <c r="F356" s="9" t="s">
        <v>287</v>
      </c>
      <c r="G356" s="10">
        <v>0.6</v>
      </c>
      <c r="H356" s="15">
        <v>46</v>
      </c>
      <c r="I356" s="15">
        <v>58</v>
      </c>
      <c r="J356" s="15">
        <v>26</v>
      </c>
      <c r="K356" s="15">
        <v>77.400000000000006</v>
      </c>
    </row>
    <row r="357" spans="1:11" ht="15" customHeight="1" x14ac:dyDescent="0.2">
      <c r="A357" s="9" t="s">
        <v>184</v>
      </c>
      <c r="B357" s="9" t="s">
        <v>1568</v>
      </c>
      <c r="C357" s="9" t="s">
        <v>249</v>
      </c>
      <c r="D357" s="9" t="s">
        <v>253</v>
      </c>
      <c r="E357" s="9" t="s">
        <v>261</v>
      </c>
      <c r="F357" s="9" t="s">
        <v>287</v>
      </c>
      <c r="G357" s="10">
        <v>0.7</v>
      </c>
      <c r="H357" s="15">
        <v>96</v>
      </c>
      <c r="I357" s="15">
        <v>52</v>
      </c>
      <c r="J357" s="15">
        <v>32</v>
      </c>
      <c r="K357" s="15">
        <v>248.3</v>
      </c>
    </row>
    <row r="358" spans="1:11" ht="15" customHeight="1" x14ac:dyDescent="0.2">
      <c r="A358" s="9" t="s">
        <v>741</v>
      </c>
      <c r="B358" s="9" t="s">
        <v>1568</v>
      </c>
      <c r="C358" s="9" t="s">
        <v>240</v>
      </c>
      <c r="D358" s="9" t="s">
        <v>251</v>
      </c>
      <c r="E358" s="9" t="s">
        <v>760</v>
      </c>
      <c r="F358" s="9" t="s">
        <v>287</v>
      </c>
      <c r="G358" s="10">
        <v>0.65</v>
      </c>
      <c r="H358" s="15">
        <v>72</v>
      </c>
      <c r="I358" s="15">
        <v>52</v>
      </c>
      <c r="J358" s="15">
        <v>27</v>
      </c>
      <c r="K358" s="15">
        <v>100</v>
      </c>
    </row>
    <row r="359" spans="1:11" ht="15" customHeight="1" x14ac:dyDescent="0.2">
      <c r="A359" s="9" t="s">
        <v>937</v>
      </c>
      <c r="B359" s="9" t="s">
        <v>1568</v>
      </c>
      <c r="C359" s="9" t="s">
        <v>249</v>
      </c>
      <c r="D359" s="9" t="s">
        <v>255</v>
      </c>
      <c r="E359" s="9" t="s">
        <v>261</v>
      </c>
      <c r="F359" s="9" t="s">
        <v>287</v>
      </c>
      <c r="G359" s="10">
        <v>0.9</v>
      </c>
      <c r="H359" s="15">
        <v>52</v>
      </c>
      <c r="I359" s="15">
        <v>51</v>
      </c>
      <c r="J359" s="15">
        <v>28</v>
      </c>
      <c r="K359" s="15">
        <v>144.4</v>
      </c>
    </row>
    <row r="360" spans="1:11" ht="15" customHeight="1" x14ac:dyDescent="0.2">
      <c r="A360" s="9" t="s">
        <v>1585</v>
      </c>
      <c r="B360" s="9" t="s">
        <v>1568</v>
      </c>
      <c r="C360" s="9" t="s">
        <v>240</v>
      </c>
      <c r="D360" s="9" t="s">
        <v>251</v>
      </c>
      <c r="E360" s="9" t="s">
        <v>261</v>
      </c>
      <c r="F360" s="9" t="s">
        <v>287</v>
      </c>
      <c r="G360" s="10">
        <v>0.55000000000000004</v>
      </c>
      <c r="H360" s="15">
        <v>75</v>
      </c>
      <c r="I360" s="15">
        <v>72</v>
      </c>
      <c r="J360" s="15">
        <v>60</v>
      </c>
      <c r="K360" s="15">
        <v>498.8</v>
      </c>
    </row>
    <row r="361" spans="1:11" ht="15" customHeight="1" x14ac:dyDescent="0.2">
      <c r="A361" s="9" t="s">
        <v>889</v>
      </c>
      <c r="B361" s="9" t="s">
        <v>1568</v>
      </c>
      <c r="C361" s="9" t="s">
        <v>240</v>
      </c>
      <c r="D361" s="9" t="s">
        <v>251</v>
      </c>
      <c r="E361" s="9" t="s">
        <v>260</v>
      </c>
      <c r="F361" s="9" t="s">
        <v>287</v>
      </c>
      <c r="G361" s="10">
        <v>0.6</v>
      </c>
      <c r="H361" s="15">
        <v>66</v>
      </c>
      <c r="I361" s="15">
        <v>42</v>
      </c>
      <c r="J361" s="15">
        <v>25</v>
      </c>
      <c r="K361" s="15">
        <v>100.3</v>
      </c>
    </row>
    <row r="362" spans="1:11" ht="15" customHeight="1" x14ac:dyDescent="0.2">
      <c r="A362" t="s">
        <v>1150</v>
      </c>
      <c r="B362" s="9" t="s">
        <v>1568</v>
      </c>
      <c r="C362" s="9" t="s">
        <v>239</v>
      </c>
      <c r="D362" s="9" t="s">
        <v>251</v>
      </c>
      <c r="E362" s="9" t="s">
        <v>260</v>
      </c>
      <c r="F362" s="9" t="s">
        <v>287</v>
      </c>
      <c r="G362" s="10">
        <v>0.1</v>
      </c>
      <c r="H362" s="15">
        <v>72</v>
      </c>
      <c r="I362" s="15">
        <v>55</v>
      </c>
      <c r="J362" s="15">
        <v>53</v>
      </c>
      <c r="K362" s="15">
        <v>522.79999999999995</v>
      </c>
    </row>
    <row r="363" spans="1:11" ht="15" customHeight="1" x14ac:dyDescent="0.2">
      <c r="A363" s="9" t="s">
        <v>1304</v>
      </c>
      <c r="B363" s="9" t="s">
        <v>1568</v>
      </c>
      <c r="C363" s="9" t="s">
        <v>239</v>
      </c>
      <c r="D363" s="9" t="s">
        <v>251</v>
      </c>
      <c r="E363" s="9" t="s">
        <v>260</v>
      </c>
      <c r="F363" s="9" t="s">
        <v>287</v>
      </c>
      <c r="G363" s="10">
        <v>0.4</v>
      </c>
      <c r="H363" s="15">
        <v>71</v>
      </c>
      <c r="I363" s="15">
        <v>57</v>
      </c>
      <c r="J363" s="15">
        <v>50</v>
      </c>
      <c r="K363" s="15">
        <v>389.8</v>
      </c>
    </row>
    <row r="364" spans="1:11" ht="15" customHeight="1" x14ac:dyDescent="0.2">
      <c r="A364" s="9" t="s">
        <v>1305</v>
      </c>
      <c r="B364" s="9" t="s">
        <v>1568</v>
      </c>
      <c r="C364" s="9" t="s">
        <v>239</v>
      </c>
      <c r="D364" s="9" t="s">
        <v>251</v>
      </c>
      <c r="E364" s="9" t="s">
        <v>262</v>
      </c>
      <c r="F364" s="9" t="s">
        <v>287</v>
      </c>
      <c r="G364" s="10">
        <v>0.2</v>
      </c>
      <c r="H364" s="15">
        <v>33</v>
      </c>
      <c r="I364" s="15">
        <v>31</v>
      </c>
      <c r="J364" s="15">
        <v>25</v>
      </c>
      <c r="K364" s="15">
        <v>53.7</v>
      </c>
    </row>
    <row r="365" spans="1:11" ht="15" customHeight="1" x14ac:dyDescent="0.2">
      <c r="A365" s="9" t="s">
        <v>1306</v>
      </c>
      <c r="B365" s="9" t="s">
        <v>1568</v>
      </c>
      <c r="C365" s="9" t="s">
        <v>239</v>
      </c>
      <c r="D365" s="9" t="s">
        <v>251</v>
      </c>
      <c r="E365" s="9" t="s">
        <v>260</v>
      </c>
      <c r="F365" s="9" t="s">
        <v>287</v>
      </c>
      <c r="G365" s="10">
        <v>0.4</v>
      </c>
      <c r="H365" s="15">
        <v>70</v>
      </c>
      <c r="I365" s="15">
        <v>60</v>
      </c>
      <c r="J365" s="15">
        <v>37</v>
      </c>
      <c r="K365" s="15">
        <v>335</v>
      </c>
    </row>
    <row r="366" spans="1:11" ht="15" customHeight="1" x14ac:dyDescent="0.2">
      <c r="A366" s="9" t="s">
        <v>1307</v>
      </c>
      <c r="B366" s="9" t="s">
        <v>1568</v>
      </c>
      <c r="C366" s="9" t="s">
        <v>239</v>
      </c>
      <c r="D366" s="9" t="s">
        <v>251</v>
      </c>
      <c r="E366" s="9" t="s">
        <v>261</v>
      </c>
      <c r="F366" s="9" t="s">
        <v>287</v>
      </c>
      <c r="G366" s="10">
        <v>0.6</v>
      </c>
      <c r="H366" s="15">
        <v>76</v>
      </c>
      <c r="I366" s="15">
        <v>62</v>
      </c>
      <c r="J366" s="15">
        <v>34</v>
      </c>
      <c r="K366" s="15">
        <v>299.10000000000002</v>
      </c>
    </row>
    <row r="367" spans="1:11" ht="15" customHeight="1" x14ac:dyDescent="0.2">
      <c r="A367" s="9" t="s">
        <v>1308</v>
      </c>
      <c r="B367" s="9" t="s">
        <v>1568</v>
      </c>
      <c r="C367" s="9" t="s">
        <v>239</v>
      </c>
      <c r="D367" s="9" t="s">
        <v>251</v>
      </c>
      <c r="E367" s="9" t="s">
        <v>262</v>
      </c>
      <c r="F367" s="9" t="s">
        <v>287</v>
      </c>
      <c r="G367" s="10">
        <v>0.65</v>
      </c>
      <c r="H367" s="15">
        <v>61</v>
      </c>
      <c r="I367" s="15">
        <v>48</v>
      </c>
      <c r="J367" s="15">
        <v>28</v>
      </c>
      <c r="K367" s="15">
        <v>198.1</v>
      </c>
    </row>
    <row r="368" spans="1:11" ht="15" customHeight="1" x14ac:dyDescent="0.2">
      <c r="A368" s="9" t="s">
        <v>1309</v>
      </c>
      <c r="B368" s="9" t="s">
        <v>1568</v>
      </c>
      <c r="C368" s="9" t="s">
        <v>239</v>
      </c>
      <c r="D368" s="9" t="s">
        <v>251</v>
      </c>
      <c r="E368" s="9" t="s">
        <v>262</v>
      </c>
      <c r="F368" s="9" t="s">
        <v>287</v>
      </c>
      <c r="G368" s="10">
        <v>0.3</v>
      </c>
      <c r="H368" s="15">
        <v>75</v>
      </c>
      <c r="I368" s="15">
        <v>56</v>
      </c>
      <c r="J368" s="15">
        <v>45</v>
      </c>
      <c r="K368" s="15">
        <v>397.6</v>
      </c>
    </row>
    <row r="369" spans="1:11" ht="15" customHeight="1" x14ac:dyDescent="0.2">
      <c r="A369" s="9" t="s">
        <v>1310</v>
      </c>
      <c r="B369" s="9" t="s">
        <v>1568</v>
      </c>
      <c r="C369" s="9" t="s">
        <v>239</v>
      </c>
      <c r="D369" s="9" t="s">
        <v>251</v>
      </c>
      <c r="E369" s="9" t="s">
        <v>262</v>
      </c>
      <c r="F369" s="9" t="s">
        <v>287</v>
      </c>
      <c r="G369" s="10">
        <v>0.45</v>
      </c>
      <c r="H369" s="15">
        <v>53</v>
      </c>
      <c r="I369" s="15">
        <v>46</v>
      </c>
      <c r="J369" s="15">
        <v>33</v>
      </c>
      <c r="K369" s="15">
        <v>186.5</v>
      </c>
    </row>
    <row r="370" spans="1:11" ht="15" customHeight="1" x14ac:dyDescent="0.2">
      <c r="A370" s="9" t="s">
        <v>1311</v>
      </c>
      <c r="B370" s="9" t="s">
        <v>1568</v>
      </c>
      <c r="C370" s="9" t="s">
        <v>239</v>
      </c>
      <c r="D370" s="9" t="s">
        <v>251</v>
      </c>
      <c r="E370" s="9" t="s">
        <v>260</v>
      </c>
      <c r="F370" s="9" t="s">
        <v>287</v>
      </c>
      <c r="G370" s="10">
        <v>0.35</v>
      </c>
      <c r="H370" s="15">
        <v>46</v>
      </c>
      <c r="I370" s="15">
        <v>43</v>
      </c>
      <c r="J370" s="15">
        <v>36</v>
      </c>
      <c r="K370" s="15">
        <v>130.5</v>
      </c>
    </row>
    <row r="371" spans="1:11" ht="15" customHeight="1" x14ac:dyDescent="0.2">
      <c r="A371" s="9" t="s">
        <v>1312</v>
      </c>
      <c r="B371" s="9" t="s">
        <v>1568</v>
      </c>
      <c r="C371" s="9" t="s">
        <v>239</v>
      </c>
      <c r="D371" s="9" t="s">
        <v>251</v>
      </c>
      <c r="E371" s="9" t="s">
        <v>262</v>
      </c>
      <c r="F371" s="9" t="s">
        <v>287</v>
      </c>
      <c r="G371" s="10">
        <v>0.35</v>
      </c>
      <c r="H371" s="15">
        <v>76</v>
      </c>
      <c r="I371" s="15">
        <v>58</v>
      </c>
      <c r="J371" s="15">
        <v>30</v>
      </c>
      <c r="K371" s="15">
        <v>262.8</v>
      </c>
    </row>
    <row r="372" spans="1:11" ht="15" customHeight="1" x14ac:dyDescent="0.2">
      <c r="A372" s="9" t="s">
        <v>1313</v>
      </c>
      <c r="B372" s="9" t="s">
        <v>1568</v>
      </c>
      <c r="C372" s="9" t="s">
        <v>239</v>
      </c>
      <c r="D372" s="9" t="s">
        <v>251</v>
      </c>
      <c r="E372" s="9" t="s">
        <v>261</v>
      </c>
      <c r="F372" s="9" t="s">
        <v>287</v>
      </c>
      <c r="G372" s="10">
        <v>0.6</v>
      </c>
      <c r="H372" s="15">
        <v>81</v>
      </c>
      <c r="I372" s="15">
        <v>72</v>
      </c>
      <c r="J372" s="15">
        <v>55</v>
      </c>
      <c r="K372" s="15">
        <v>785.4</v>
      </c>
    </row>
    <row r="373" spans="1:11" ht="15" customHeight="1" x14ac:dyDescent="0.2">
      <c r="A373" s="9" t="s">
        <v>1314</v>
      </c>
      <c r="B373" s="9" t="s">
        <v>1568</v>
      </c>
      <c r="C373" s="9" t="s">
        <v>239</v>
      </c>
      <c r="D373" s="9" t="s">
        <v>251</v>
      </c>
      <c r="E373" s="9" t="s">
        <v>261</v>
      </c>
      <c r="F373" s="9" t="s">
        <v>287</v>
      </c>
      <c r="G373" s="10">
        <v>0.6</v>
      </c>
      <c r="H373" s="15">
        <v>57</v>
      </c>
      <c r="I373" s="15">
        <v>46</v>
      </c>
      <c r="J373" s="15">
        <v>37</v>
      </c>
      <c r="K373" s="15">
        <v>303.8</v>
      </c>
    </row>
    <row r="374" spans="1:11" ht="15" customHeight="1" x14ac:dyDescent="0.2">
      <c r="A374" s="9" t="s">
        <v>1315</v>
      </c>
      <c r="B374" s="9" t="s">
        <v>1568</v>
      </c>
      <c r="C374" s="9" t="s">
        <v>239</v>
      </c>
      <c r="D374" s="9" t="s">
        <v>251</v>
      </c>
      <c r="E374" s="9" t="s">
        <v>261</v>
      </c>
      <c r="F374" s="9" t="s">
        <v>287</v>
      </c>
      <c r="G374" s="10">
        <v>0.4</v>
      </c>
      <c r="H374" s="15">
        <v>86</v>
      </c>
      <c r="I374" s="15">
        <v>73</v>
      </c>
      <c r="J374" s="15">
        <v>40</v>
      </c>
      <c r="K374" s="15">
        <v>736.8</v>
      </c>
    </row>
    <row r="375" spans="1:11" ht="15" customHeight="1" x14ac:dyDescent="0.2">
      <c r="A375" s="9" t="s">
        <v>1316</v>
      </c>
      <c r="B375" s="9" t="s">
        <v>1568</v>
      </c>
      <c r="C375" s="9" t="s">
        <v>239</v>
      </c>
      <c r="D375" s="9" t="s">
        <v>251</v>
      </c>
      <c r="E375" s="9" t="s">
        <v>262</v>
      </c>
      <c r="F375" s="9" t="s">
        <v>287</v>
      </c>
      <c r="G375" s="10">
        <v>0.4</v>
      </c>
      <c r="H375" s="15">
        <v>73</v>
      </c>
      <c r="I375" s="15">
        <v>60</v>
      </c>
      <c r="J375" s="15">
        <v>32</v>
      </c>
      <c r="K375" s="15">
        <v>280.39999999999998</v>
      </c>
    </row>
    <row r="376" spans="1:11" ht="15" customHeight="1" x14ac:dyDescent="0.2">
      <c r="A376" s="9" t="s">
        <v>1317</v>
      </c>
      <c r="B376" s="9" t="s">
        <v>1568</v>
      </c>
      <c r="C376" s="9" t="s">
        <v>239</v>
      </c>
      <c r="D376" s="9" t="s">
        <v>251</v>
      </c>
      <c r="E376" s="9" t="s">
        <v>261</v>
      </c>
      <c r="F376" s="9" t="s">
        <v>287</v>
      </c>
      <c r="G376" s="10">
        <v>0.45</v>
      </c>
      <c r="H376" s="15">
        <v>75</v>
      </c>
      <c r="I376" s="15">
        <v>53</v>
      </c>
      <c r="J376" s="15">
        <v>26</v>
      </c>
      <c r="K376" s="15">
        <v>138.9</v>
      </c>
    </row>
    <row r="377" spans="1:11" ht="15" customHeight="1" x14ac:dyDescent="0.2">
      <c r="A377" s="9" t="s">
        <v>1318</v>
      </c>
      <c r="B377" s="9" t="s">
        <v>1568</v>
      </c>
      <c r="C377" s="9" t="s">
        <v>239</v>
      </c>
      <c r="D377" s="9" t="s">
        <v>251</v>
      </c>
      <c r="E377" s="9" t="s">
        <v>261</v>
      </c>
      <c r="F377" s="9" t="s">
        <v>287</v>
      </c>
      <c r="G377" s="10">
        <v>0.7</v>
      </c>
      <c r="H377" s="15">
        <v>48</v>
      </c>
      <c r="I377" s="15">
        <v>41</v>
      </c>
      <c r="J377" s="15">
        <v>33</v>
      </c>
      <c r="K377" s="15">
        <v>165.2</v>
      </c>
    </row>
    <row r="378" spans="1:11" ht="15" customHeight="1" x14ac:dyDescent="0.2">
      <c r="A378" s="9" t="s">
        <v>1319</v>
      </c>
      <c r="B378" s="9" t="s">
        <v>1568</v>
      </c>
      <c r="C378" s="9" t="s">
        <v>239</v>
      </c>
      <c r="D378" s="9" t="s">
        <v>251</v>
      </c>
      <c r="E378" s="9" t="s">
        <v>262</v>
      </c>
      <c r="F378" s="9" t="s">
        <v>287</v>
      </c>
      <c r="G378" s="10">
        <v>0.2</v>
      </c>
      <c r="H378" s="15">
        <v>33</v>
      </c>
      <c r="I378" s="15">
        <v>46</v>
      </c>
      <c r="J378" s="15">
        <v>29</v>
      </c>
      <c r="K378" s="15">
        <v>73.3</v>
      </c>
    </row>
    <row r="379" spans="1:11" ht="15" customHeight="1" x14ac:dyDescent="0.2">
      <c r="A379" s="9" t="s">
        <v>1320</v>
      </c>
      <c r="B379" s="9" t="s">
        <v>1568</v>
      </c>
      <c r="C379" s="9" t="s">
        <v>239</v>
      </c>
      <c r="D379" s="9" t="s">
        <v>251</v>
      </c>
      <c r="E379" s="9" t="s">
        <v>261</v>
      </c>
      <c r="F379" s="9" t="s">
        <v>287</v>
      </c>
      <c r="G379" s="10">
        <v>0.85</v>
      </c>
      <c r="H379" s="15">
        <v>56</v>
      </c>
      <c r="I379" s="15">
        <v>42</v>
      </c>
      <c r="J379" s="15">
        <v>29</v>
      </c>
      <c r="K379" s="15">
        <v>106.8</v>
      </c>
    </row>
    <row r="380" spans="1:11" ht="15" customHeight="1" x14ac:dyDescent="0.2">
      <c r="A380" s="9" t="s">
        <v>1321</v>
      </c>
      <c r="B380" s="9" t="s">
        <v>1568</v>
      </c>
      <c r="C380" s="9" t="s">
        <v>239</v>
      </c>
      <c r="D380" s="9" t="s">
        <v>251</v>
      </c>
      <c r="E380" s="9" t="s">
        <v>261</v>
      </c>
      <c r="F380" s="9" t="s">
        <v>287</v>
      </c>
      <c r="G380" s="10">
        <v>0.6</v>
      </c>
      <c r="H380" s="15">
        <v>74</v>
      </c>
      <c r="I380" s="15">
        <v>56</v>
      </c>
      <c r="J380" s="15">
        <v>35</v>
      </c>
      <c r="K380" s="15">
        <v>237</v>
      </c>
    </row>
    <row r="381" spans="1:11" ht="15" customHeight="1" x14ac:dyDescent="0.2">
      <c r="A381" s="9" t="s">
        <v>1322</v>
      </c>
      <c r="B381" s="9" t="s">
        <v>1568</v>
      </c>
      <c r="C381" s="9" t="s">
        <v>239</v>
      </c>
      <c r="D381" s="9" t="s">
        <v>251</v>
      </c>
      <c r="E381" s="9" t="s">
        <v>261</v>
      </c>
      <c r="F381" s="9" t="s">
        <v>287</v>
      </c>
      <c r="G381" s="10">
        <v>0.4</v>
      </c>
      <c r="H381" s="15">
        <v>51</v>
      </c>
      <c r="I381" s="15">
        <v>34</v>
      </c>
      <c r="J381" s="15">
        <v>21</v>
      </c>
      <c r="K381" s="15">
        <v>72.2</v>
      </c>
    </row>
    <row r="382" spans="1:11" ht="15" customHeight="1" x14ac:dyDescent="0.2">
      <c r="A382" s="9" t="s">
        <v>1323</v>
      </c>
      <c r="B382" s="9" t="s">
        <v>1568</v>
      </c>
      <c r="C382" s="9" t="s">
        <v>239</v>
      </c>
      <c r="D382" s="9" t="s">
        <v>251</v>
      </c>
      <c r="E382" s="9" t="s">
        <v>262</v>
      </c>
      <c r="F382" s="9" t="s">
        <v>287</v>
      </c>
      <c r="G382" s="10">
        <v>0.4</v>
      </c>
      <c r="H382" s="15">
        <v>67</v>
      </c>
      <c r="I382" s="15">
        <v>57</v>
      </c>
      <c r="J382" s="15">
        <v>35</v>
      </c>
      <c r="K382" s="15">
        <v>260.2</v>
      </c>
    </row>
    <row r="383" spans="1:11" ht="15" customHeight="1" x14ac:dyDescent="0.2">
      <c r="A383" s="9" t="s">
        <v>1324</v>
      </c>
      <c r="B383" s="9" t="s">
        <v>1568</v>
      </c>
      <c r="C383" s="9" t="s">
        <v>239</v>
      </c>
      <c r="D383" s="9" t="s">
        <v>251</v>
      </c>
      <c r="E383" s="9" t="s">
        <v>261</v>
      </c>
      <c r="F383" s="9" t="s">
        <v>287</v>
      </c>
      <c r="G383" s="10">
        <v>0.5</v>
      </c>
      <c r="H383" s="15">
        <v>58</v>
      </c>
      <c r="I383" s="15">
        <v>45</v>
      </c>
      <c r="J383" s="15">
        <v>31</v>
      </c>
      <c r="K383" s="15">
        <v>275.7</v>
      </c>
    </row>
    <row r="384" spans="1:11" ht="15" customHeight="1" x14ac:dyDescent="0.2">
      <c r="A384" s="9" t="s">
        <v>1325</v>
      </c>
      <c r="B384" s="9" t="s">
        <v>1568</v>
      </c>
      <c r="C384" s="9" t="s">
        <v>239</v>
      </c>
      <c r="D384" s="9" t="s">
        <v>251</v>
      </c>
      <c r="E384" s="9" t="s">
        <v>261</v>
      </c>
      <c r="F384" s="9" t="s">
        <v>287</v>
      </c>
      <c r="G384" s="10">
        <v>0.4</v>
      </c>
      <c r="H384" s="15">
        <v>41</v>
      </c>
      <c r="I384" s="15">
        <v>27</v>
      </c>
      <c r="J384" s="15">
        <v>7</v>
      </c>
      <c r="K384" s="15">
        <v>15.1</v>
      </c>
    </row>
    <row r="385" spans="1:11" ht="15" customHeight="1" x14ac:dyDescent="0.2">
      <c r="A385" s="9" t="s">
        <v>1326</v>
      </c>
      <c r="B385" s="9" t="s">
        <v>1568</v>
      </c>
      <c r="C385" s="9" t="s">
        <v>239</v>
      </c>
      <c r="D385" s="9" t="s">
        <v>251</v>
      </c>
      <c r="E385" s="9" t="s">
        <v>262</v>
      </c>
      <c r="F385" s="9" t="s">
        <v>287</v>
      </c>
      <c r="G385" s="10">
        <v>0.6</v>
      </c>
      <c r="H385" s="15">
        <v>43</v>
      </c>
      <c r="I385" s="15">
        <v>49</v>
      </c>
      <c r="J385" s="15">
        <v>14</v>
      </c>
      <c r="K385" s="15">
        <v>65.599999999999994</v>
      </c>
    </row>
    <row r="386" spans="1:11" ht="15" customHeight="1" x14ac:dyDescent="0.2">
      <c r="A386" s="9" t="s">
        <v>1327</v>
      </c>
      <c r="B386" s="9" t="s">
        <v>1568</v>
      </c>
      <c r="C386" s="9" t="s">
        <v>239</v>
      </c>
      <c r="D386" s="9" t="s">
        <v>251</v>
      </c>
      <c r="E386" s="9" t="s">
        <v>261</v>
      </c>
      <c r="F386" s="9" t="s">
        <v>287</v>
      </c>
      <c r="G386" s="10">
        <v>0.25</v>
      </c>
      <c r="H386" s="15">
        <v>68</v>
      </c>
      <c r="I386" s="15">
        <v>67</v>
      </c>
      <c r="J386" s="15">
        <v>48</v>
      </c>
      <c r="K386" s="15">
        <v>620.6</v>
      </c>
    </row>
    <row r="387" spans="1:11" ht="15" customHeight="1" x14ac:dyDescent="0.2">
      <c r="A387" s="9" t="s">
        <v>1328</v>
      </c>
      <c r="B387" s="9" t="s">
        <v>1568</v>
      </c>
      <c r="C387" s="9" t="s">
        <v>239</v>
      </c>
      <c r="D387" s="9" t="s">
        <v>251</v>
      </c>
      <c r="E387" s="9" t="s">
        <v>261</v>
      </c>
      <c r="F387" s="9" t="s">
        <v>287</v>
      </c>
      <c r="G387" s="10">
        <v>0.4</v>
      </c>
      <c r="H387" s="15">
        <v>75</v>
      </c>
      <c r="I387" s="15">
        <v>42</v>
      </c>
      <c r="J387" s="15">
        <v>23</v>
      </c>
      <c r="K387" s="15">
        <v>223.5</v>
      </c>
    </row>
    <row r="388" spans="1:11" ht="15" customHeight="1" x14ac:dyDescent="0.2">
      <c r="A388" s="9" t="s">
        <v>1329</v>
      </c>
      <c r="B388" s="9" t="s">
        <v>1568</v>
      </c>
      <c r="C388" s="9" t="s">
        <v>239</v>
      </c>
      <c r="D388" s="9" t="s">
        <v>251</v>
      </c>
      <c r="E388" s="9" t="s">
        <v>261</v>
      </c>
      <c r="F388" s="9" t="s">
        <v>287</v>
      </c>
      <c r="G388" s="10">
        <v>0.4</v>
      </c>
      <c r="H388" s="15">
        <v>70</v>
      </c>
      <c r="I388" s="15">
        <v>61</v>
      </c>
      <c r="J388" s="15">
        <v>19</v>
      </c>
      <c r="K388" s="15">
        <v>252.8</v>
      </c>
    </row>
    <row r="389" spans="1:11" ht="15" customHeight="1" x14ac:dyDescent="0.2">
      <c r="A389" s="9" t="s">
        <v>1330</v>
      </c>
      <c r="B389" s="9" t="s">
        <v>1568</v>
      </c>
      <c r="C389" s="9" t="s">
        <v>239</v>
      </c>
      <c r="D389" s="9" t="s">
        <v>251</v>
      </c>
      <c r="E389" s="9" t="s">
        <v>261</v>
      </c>
      <c r="F389" s="9" t="s">
        <v>287</v>
      </c>
      <c r="G389" s="10">
        <v>0.4</v>
      </c>
      <c r="H389" s="15">
        <v>64</v>
      </c>
      <c r="I389" s="15">
        <v>52</v>
      </c>
      <c r="J389" s="15">
        <v>18</v>
      </c>
      <c r="K389" s="15">
        <v>160.1</v>
      </c>
    </row>
    <row r="390" spans="1:11" ht="15" customHeight="1" x14ac:dyDescent="0.2">
      <c r="A390" s="9" t="s">
        <v>1331</v>
      </c>
      <c r="B390" s="9" t="s">
        <v>1568</v>
      </c>
      <c r="C390" s="9" t="s">
        <v>239</v>
      </c>
      <c r="D390" s="9" t="s">
        <v>251</v>
      </c>
      <c r="E390" s="9" t="s">
        <v>261</v>
      </c>
      <c r="F390" s="9" t="s">
        <v>287</v>
      </c>
      <c r="G390" s="10">
        <v>0.9</v>
      </c>
      <c r="H390" s="15">
        <v>51</v>
      </c>
      <c r="I390" s="15">
        <v>39</v>
      </c>
      <c r="J390" s="15">
        <v>18</v>
      </c>
      <c r="K390" s="15">
        <v>92.6</v>
      </c>
    </row>
    <row r="391" spans="1:11" ht="15" customHeight="1" x14ac:dyDescent="0.2">
      <c r="A391" s="9" t="s">
        <v>1270</v>
      </c>
      <c r="B391" s="9" t="s">
        <v>1568</v>
      </c>
      <c r="C391" s="9" t="s">
        <v>239</v>
      </c>
      <c r="D391" s="9" t="s">
        <v>251</v>
      </c>
      <c r="E391" s="9" t="s">
        <v>261</v>
      </c>
      <c r="F391" s="9" t="s">
        <v>287</v>
      </c>
      <c r="G391" s="10">
        <v>0.25</v>
      </c>
      <c r="H391" s="15">
        <v>69</v>
      </c>
      <c r="I391" s="15">
        <v>35</v>
      </c>
      <c r="J391" s="15">
        <v>14</v>
      </c>
      <c r="K391" s="15">
        <v>80.900000000000006</v>
      </c>
    </row>
    <row r="392" spans="1:11" ht="15" customHeight="1" x14ac:dyDescent="0.2">
      <c r="A392" s="9" t="s">
        <v>1332</v>
      </c>
      <c r="B392" s="9" t="s">
        <v>1568</v>
      </c>
      <c r="C392" s="9" t="s">
        <v>239</v>
      </c>
      <c r="D392" s="9" t="s">
        <v>251</v>
      </c>
      <c r="E392" s="9" t="s">
        <v>262</v>
      </c>
      <c r="F392" s="9" t="s">
        <v>287</v>
      </c>
      <c r="G392" s="10">
        <v>0.5</v>
      </c>
      <c r="H392" s="15">
        <v>58</v>
      </c>
      <c r="I392" s="15">
        <v>52</v>
      </c>
      <c r="J392" s="15">
        <v>28</v>
      </c>
      <c r="K392" s="15">
        <v>208.9</v>
      </c>
    </row>
    <row r="393" spans="1:11" ht="15" customHeight="1" x14ac:dyDescent="0.2">
      <c r="A393" s="9" t="s">
        <v>1333</v>
      </c>
      <c r="B393" s="9" t="s">
        <v>1568</v>
      </c>
      <c r="C393" s="9" t="s">
        <v>239</v>
      </c>
      <c r="D393" s="9" t="s">
        <v>251</v>
      </c>
      <c r="E393" s="9" t="s">
        <v>260</v>
      </c>
      <c r="F393" s="9" t="s">
        <v>287</v>
      </c>
      <c r="G393" s="10">
        <v>0.3</v>
      </c>
      <c r="H393" s="15">
        <v>49</v>
      </c>
      <c r="I393" s="15">
        <v>43</v>
      </c>
      <c r="J393" s="15">
        <v>29</v>
      </c>
      <c r="K393" s="15">
        <v>119</v>
      </c>
    </row>
    <row r="394" spans="1:11" ht="15" customHeight="1" x14ac:dyDescent="0.2">
      <c r="A394" s="9" t="s">
        <v>1334</v>
      </c>
      <c r="B394" s="9" t="s">
        <v>1568</v>
      </c>
      <c r="C394" s="9" t="s">
        <v>239</v>
      </c>
      <c r="D394" s="9" t="s">
        <v>251</v>
      </c>
      <c r="E394" s="9" t="s">
        <v>261</v>
      </c>
      <c r="F394" s="9" t="s">
        <v>287</v>
      </c>
      <c r="G394" s="10">
        <v>0.6</v>
      </c>
      <c r="H394" s="15">
        <v>75</v>
      </c>
      <c r="I394" s="15">
        <v>51</v>
      </c>
      <c r="J394" s="15">
        <v>34</v>
      </c>
      <c r="K394" s="15">
        <v>241.3</v>
      </c>
    </row>
    <row r="395" spans="1:11" ht="15" customHeight="1" x14ac:dyDescent="0.2">
      <c r="A395" s="9" t="s">
        <v>345</v>
      </c>
      <c r="B395" s="9" t="s">
        <v>1568</v>
      </c>
      <c r="C395" s="9" t="s">
        <v>240</v>
      </c>
      <c r="D395" s="9" t="s">
        <v>251</v>
      </c>
      <c r="E395" s="9" t="s">
        <v>262</v>
      </c>
      <c r="F395" s="9" t="s">
        <v>287</v>
      </c>
      <c r="G395" s="10">
        <v>0.31</v>
      </c>
      <c r="H395" s="15">
        <v>47</v>
      </c>
      <c r="I395" s="15">
        <v>41</v>
      </c>
      <c r="J395" s="15">
        <v>24</v>
      </c>
      <c r="K395" s="15">
        <v>99.4</v>
      </c>
    </row>
    <row r="396" spans="1:11" ht="15" customHeight="1" x14ac:dyDescent="0.2">
      <c r="A396" s="9" t="s">
        <v>1335</v>
      </c>
      <c r="B396" s="9" t="s">
        <v>1568</v>
      </c>
      <c r="C396" s="9" t="s">
        <v>240</v>
      </c>
      <c r="D396" s="9" t="s">
        <v>251</v>
      </c>
      <c r="E396" s="9" t="s">
        <v>261</v>
      </c>
      <c r="F396" s="9" t="s">
        <v>287</v>
      </c>
      <c r="G396" s="10">
        <v>0.35</v>
      </c>
      <c r="H396" s="15">
        <v>77</v>
      </c>
      <c r="I396" s="15">
        <v>58</v>
      </c>
      <c r="J396" s="15">
        <v>43</v>
      </c>
      <c r="K396" s="15">
        <v>400.4</v>
      </c>
    </row>
    <row r="397" spans="1:11" ht="15" customHeight="1" x14ac:dyDescent="0.2">
      <c r="A397" s="9" t="s">
        <v>1336</v>
      </c>
      <c r="B397" s="9" t="s">
        <v>1568</v>
      </c>
      <c r="C397" s="9" t="s">
        <v>240</v>
      </c>
      <c r="D397" s="9" t="s">
        <v>251</v>
      </c>
      <c r="E397" s="9" t="s">
        <v>262</v>
      </c>
      <c r="F397" s="9" t="s">
        <v>287</v>
      </c>
      <c r="G397" s="10">
        <v>0.8</v>
      </c>
      <c r="H397" s="15">
        <v>51</v>
      </c>
      <c r="I397" s="15">
        <v>39</v>
      </c>
      <c r="J397" s="15">
        <v>34</v>
      </c>
      <c r="K397" s="15">
        <v>134</v>
      </c>
    </row>
    <row r="398" spans="1:11" ht="15" customHeight="1" x14ac:dyDescent="0.2">
      <c r="A398" s="9" t="s">
        <v>1337</v>
      </c>
      <c r="B398" s="9" t="s">
        <v>1568</v>
      </c>
      <c r="C398" s="9" t="s">
        <v>240</v>
      </c>
      <c r="D398" s="9" t="s">
        <v>251</v>
      </c>
      <c r="E398" s="9" t="s">
        <v>261</v>
      </c>
      <c r="F398" s="9" t="s">
        <v>287</v>
      </c>
      <c r="G398" s="10">
        <v>0.9</v>
      </c>
      <c r="H398" s="15">
        <v>51</v>
      </c>
      <c r="I398" s="15">
        <v>24</v>
      </c>
      <c r="J398" s="15">
        <v>25</v>
      </c>
      <c r="K398" s="15">
        <v>74.599999999999994</v>
      </c>
    </row>
    <row r="399" spans="1:11" ht="15" customHeight="1" x14ac:dyDescent="0.2">
      <c r="A399" s="9" t="s">
        <v>1338</v>
      </c>
      <c r="B399" s="9" t="s">
        <v>1568</v>
      </c>
      <c r="C399" s="9" t="s">
        <v>240</v>
      </c>
      <c r="D399" s="9" t="s">
        <v>251</v>
      </c>
      <c r="E399" s="9" t="s">
        <v>261</v>
      </c>
      <c r="F399" s="9" t="s">
        <v>287</v>
      </c>
      <c r="G399" s="10">
        <v>0.5</v>
      </c>
      <c r="H399" s="15">
        <v>66</v>
      </c>
      <c r="I399" s="15">
        <v>70</v>
      </c>
      <c r="J399" s="15">
        <v>37</v>
      </c>
      <c r="K399" s="15">
        <v>436.5</v>
      </c>
    </row>
    <row r="400" spans="1:11" ht="15" customHeight="1" x14ac:dyDescent="0.2">
      <c r="A400" s="9" t="s">
        <v>1339</v>
      </c>
      <c r="B400" s="9" t="s">
        <v>1568</v>
      </c>
      <c r="C400" s="9" t="s">
        <v>240</v>
      </c>
      <c r="D400" s="9" t="s">
        <v>251</v>
      </c>
      <c r="E400" s="9" t="s">
        <v>261</v>
      </c>
      <c r="F400" s="9" t="s">
        <v>287</v>
      </c>
      <c r="G400" s="10">
        <v>0.6</v>
      </c>
      <c r="H400" s="15">
        <v>48</v>
      </c>
      <c r="I400" s="15">
        <v>32</v>
      </c>
      <c r="J400" s="15">
        <v>15</v>
      </c>
      <c r="K400" s="15">
        <v>50.3</v>
      </c>
    </row>
    <row r="401" spans="1:11" ht="15" customHeight="1" x14ac:dyDescent="0.2">
      <c r="A401" s="9" t="s">
        <v>1340</v>
      </c>
      <c r="B401" s="9" t="s">
        <v>1568</v>
      </c>
      <c r="C401" s="9" t="s">
        <v>240</v>
      </c>
      <c r="D401" s="9" t="s">
        <v>251</v>
      </c>
      <c r="E401" s="9" t="s">
        <v>260</v>
      </c>
      <c r="F401" s="9" t="s">
        <v>287</v>
      </c>
      <c r="G401" s="10">
        <v>0.45</v>
      </c>
      <c r="H401" s="15">
        <v>58</v>
      </c>
      <c r="I401" s="15">
        <v>36</v>
      </c>
      <c r="J401" s="15">
        <v>46</v>
      </c>
      <c r="K401" s="15">
        <v>269.39999999999998</v>
      </c>
    </row>
    <row r="402" spans="1:11" ht="15" customHeight="1" x14ac:dyDescent="0.2">
      <c r="A402" s="9" t="s">
        <v>1341</v>
      </c>
      <c r="B402" s="9" t="s">
        <v>1568</v>
      </c>
      <c r="C402" s="9" t="s">
        <v>240</v>
      </c>
      <c r="D402" s="9" t="s">
        <v>251</v>
      </c>
      <c r="E402" s="9" t="s">
        <v>262</v>
      </c>
      <c r="F402" s="9" t="s">
        <v>287</v>
      </c>
      <c r="G402" s="10">
        <v>0.4</v>
      </c>
      <c r="H402" s="15">
        <v>65</v>
      </c>
      <c r="I402" s="15">
        <v>43</v>
      </c>
      <c r="J402" s="15">
        <v>32</v>
      </c>
      <c r="K402" s="15">
        <v>156.6</v>
      </c>
    </row>
    <row r="403" spans="1:11" ht="15" customHeight="1" x14ac:dyDescent="0.2">
      <c r="A403" s="9" t="s">
        <v>1342</v>
      </c>
      <c r="B403" s="9" t="s">
        <v>1568</v>
      </c>
      <c r="C403" s="9" t="s">
        <v>240</v>
      </c>
      <c r="D403" s="9" t="s">
        <v>251</v>
      </c>
      <c r="E403" s="9" t="s">
        <v>261</v>
      </c>
      <c r="F403" s="9" t="s">
        <v>287</v>
      </c>
      <c r="G403" s="10">
        <v>0.4</v>
      </c>
      <c r="H403" s="15">
        <v>59</v>
      </c>
      <c r="I403" s="15">
        <v>48</v>
      </c>
      <c r="J403" s="15">
        <v>22</v>
      </c>
      <c r="K403" s="15">
        <v>129.4</v>
      </c>
    </row>
    <row r="404" spans="1:11" ht="15" customHeight="1" x14ac:dyDescent="0.2">
      <c r="A404" s="9" t="s">
        <v>1343</v>
      </c>
      <c r="B404" s="9" t="s">
        <v>1568</v>
      </c>
      <c r="C404" s="9" t="s">
        <v>240</v>
      </c>
      <c r="D404" s="9" t="s">
        <v>251</v>
      </c>
      <c r="E404" s="9" t="s">
        <v>261</v>
      </c>
      <c r="F404" s="9" t="s">
        <v>287</v>
      </c>
      <c r="G404" s="10">
        <v>0.6</v>
      </c>
      <c r="H404" s="15">
        <v>71</v>
      </c>
      <c r="I404" s="15">
        <v>31</v>
      </c>
      <c r="J404" s="15">
        <v>22</v>
      </c>
      <c r="K404" s="15">
        <v>91.5</v>
      </c>
    </row>
    <row r="405" spans="1:11" ht="15" customHeight="1" x14ac:dyDescent="0.2">
      <c r="A405" s="9" t="s">
        <v>1344</v>
      </c>
      <c r="B405" s="9" t="s">
        <v>1568</v>
      </c>
      <c r="C405" s="9" t="s">
        <v>240</v>
      </c>
      <c r="D405" s="9" t="s">
        <v>251</v>
      </c>
      <c r="E405" s="9" t="s">
        <v>262</v>
      </c>
      <c r="F405" s="9" t="s">
        <v>287</v>
      </c>
      <c r="G405" s="10">
        <v>0.4</v>
      </c>
      <c r="H405" s="15">
        <v>39</v>
      </c>
      <c r="I405" s="15">
        <v>40</v>
      </c>
      <c r="J405" s="15">
        <v>16</v>
      </c>
      <c r="K405" s="15">
        <v>38.4</v>
      </c>
    </row>
    <row r="406" spans="1:11" ht="15" customHeight="1" x14ac:dyDescent="0.2">
      <c r="A406" s="9" t="s">
        <v>1345</v>
      </c>
      <c r="B406" s="9" t="s">
        <v>1568</v>
      </c>
      <c r="C406" s="9" t="s">
        <v>240</v>
      </c>
      <c r="D406" s="9" t="s">
        <v>251</v>
      </c>
      <c r="E406" s="9" t="s">
        <v>263</v>
      </c>
      <c r="F406" s="9" t="s">
        <v>287</v>
      </c>
      <c r="G406" s="10">
        <v>0.85</v>
      </c>
      <c r="H406" s="15">
        <v>69</v>
      </c>
      <c r="I406" s="15">
        <v>44</v>
      </c>
      <c r="J406" s="15">
        <v>37</v>
      </c>
      <c r="K406" s="15">
        <v>237.9</v>
      </c>
    </row>
    <row r="407" spans="1:11" ht="15" customHeight="1" x14ac:dyDescent="0.2">
      <c r="A407" s="9" t="s">
        <v>1346</v>
      </c>
      <c r="B407" s="9" t="s">
        <v>1568</v>
      </c>
      <c r="C407" s="9" t="s">
        <v>240</v>
      </c>
      <c r="D407" s="9" t="s">
        <v>251</v>
      </c>
      <c r="E407" s="9" t="s">
        <v>261</v>
      </c>
      <c r="F407" s="9" t="s">
        <v>287</v>
      </c>
      <c r="G407" s="10">
        <v>0.4</v>
      </c>
      <c r="H407" s="15">
        <v>97</v>
      </c>
      <c r="I407" s="15">
        <v>63</v>
      </c>
      <c r="J407" s="15">
        <v>36</v>
      </c>
      <c r="K407" s="15">
        <v>462.7</v>
      </c>
    </row>
    <row r="408" spans="1:11" ht="15" customHeight="1" x14ac:dyDescent="0.2">
      <c r="A408" s="9" t="s">
        <v>1347</v>
      </c>
      <c r="B408" s="9" t="s">
        <v>1568</v>
      </c>
      <c r="C408" s="9" t="s">
        <v>240</v>
      </c>
      <c r="D408" s="9" t="s">
        <v>251</v>
      </c>
      <c r="E408" s="9" t="s">
        <v>261</v>
      </c>
      <c r="F408" s="9" t="s">
        <v>287</v>
      </c>
      <c r="G408" s="10">
        <v>0.35</v>
      </c>
      <c r="H408" s="15">
        <v>63</v>
      </c>
      <c r="I408" s="15">
        <v>65</v>
      </c>
      <c r="J408" s="15">
        <v>33</v>
      </c>
      <c r="K408" s="15">
        <v>180.5</v>
      </c>
    </row>
    <row r="409" spans="1:11" ht="15" customHeight="1" x14ac:dyDescent="0.2">
      <c r="A409" s="9" t="s">
        <v>1348</v>
      </c>
      <c r="B409" s="9" t="s">
        <v>1568</v>
      </c>
      <c r="C409" s="9" t="s">
        <v>240</v>
      </c>
      <c r="D409" s="9" t="s">
        <v>251</v>
      </c>
      <c r="E409" s="9" t="s">
        <v>261</v>
      </c>
      <c r="F409" s="9" t="s">
        <v>287</v>
      </c>
      <c r="G409" s="10">
        <v>0.25</v>
      </c>
      <c r="H409" s="15">
        <v>52</v>
      </c>
      <c r="I409" s="15">
        <v>47</v>
      </c>
      <c r="J409" s="15">
        <v>18</v>
      </c>
      <c r="K409" s="15">
        <v>106</v>
      </c>
    </row>
    <row r="410" spans="1:11" ht="15" customHeight="1" x14ac:dyDescent="0.2">
      <c r="A410" s="9" t="s">
        <v>1349</v>
      </c>
      <c r="B410" s="9" t="s">
        <v>1568</v>
      </c>
      <c r="C410" s="9" t="s">
        <v>240</v>
      </c>
      <c r="D410" s="9" t="s">
        <v>251</v>
      </c>
      <c r="E410" s="9" t="s">
        <v>261</v>
      </c>
      <c r="F410" s="9" t="s">
        <v>287</v>
      </c>
      <c r="G410" s="10">
        <v>0.4</v>
      </c>
      <c r="H410" s="15">
        <v>83</v>
      </c>
      <c r="I410" s="15">
        <v>54</v>
      </c>
      <c r="J410" s="15">
        <v>51</v>
      </c>
      <c r="K410" s="15">
        <v>408.7</v>
      </c>
    </row>
    <row r="411" spans="1:11" ht="15" customHeight="1" x14ac:dyDescent="0.2">
      <c r="A411" s="9" t="s">
        <v>1350</v>
      </c>
      <c r="B411" s="9" t="s">
        <v>1568</v>
      </c>
      <c r="C411" s="9" t="s">
        <v>240</v>
      </c>
      <c r="D411" s="9" t="s">
        <v>251</v>
      </c>
      <c r="E411" s="9" t="s">
        <v>261</v>
      </c>
      <c r="F411" s="9" t="s">
        <v>287</v>
      </c>
      <c r="G411" s="10">
        <v>0.8</v>
      </c>
      <c r="H411" s="15">
        <v>60</v>
      </c>
      <c r="I411" s="15">
        <v>58</v>
      </c>
      <c r="J411" s="15">
        <v>41</v>
      </c>
      <c r="K411" s="15">
        <v>428.3</v>
      </c>
    </row>
    <row r="412" spans="1:11" ht="15" customHeight="1" x14ac:dyDescent="0.2">
      <c r="A412" s="9" t="s">
        <v>1351</v>
      </c>
      <c r="B412" s="9" t="s">
        <v>1568</v>
      </c>
      <c r="C412" s="9" t="s">
        <v>240</v>
      </c>
      <c r="D412" s="9" t="s">
        <v>251</v>
      </c>
      <c r="E412" s="9" t="s">
        <v>263</v>
      </c>
      <c r="F412" s="9" t="s">
        <v>287</v>
      </c>
      <c r="G412" s="10">
        <v>1</v>
      </c>
      <c r="H412" s="15">
        <v>53</v>
      </c>
      <c r="I412" s="15">
        <v>60</v>
      </c>
      <c r="J412" s="15">
        <v>48</v>
      </c>
      <c r="K412" s="15">
        <v>408.8</v>
      </c>
    </row>
    <row r="413" spans="1:11" ht="15" customHeight="1" x14ac:dyDescent="0.2">
      <c r="A413" s="9" t="s">
        <v>1352</v>
      </c>
      <c r="B413" s="9" t="s">
        <v>1568</v>
      </c>
      <c r="C413" s="9" t="s">
        <v>240</v>
      </c>
      <c r="D413" s="9" t="s">
        <v>251</v>
      </c>
      <c r="E413" s="9" t="s">
        <v>261</v>
      </c>
      <c r="F413" s="9" t="s">
        <v>287</v>
      </c>
      <c r="G413" s="10">
        <v>0.3</v>
      </c>
      <c r="H413" s="15">
        <v>75</v>
      </c>
      <c r="I413" s="15">
        <v>39</v>
      </c>
      <c r="J413" s="15">
        <v>37</v>
      </c>
      <c r="K413" s="15">
        <v>258.39999999999998</v>
      </c>
    </row>
    <row r="414" spans="1:11" ht="15" customHeight="1" x14ac:dyDescent="0.2">
      <c r="A414" s="9" t="s">
        <v>1353</v>
      </c>
      <c r="B414" s="9" t="s">
        <v>1568</v>
      </c>
      <c r="C414" s="9" t="s">
        <v>240</v>
      </c>
      <c r="D414" s="9" t="s">
        <v>251</v>
      </c>
      <c r="E414" s="9" t="s">
        <v>261</v>
      </c>
      <c r="F414" s="9" t="s">
        <v>287</v>
      </c>
      <c r="G414" s="10">
        <v>0.7</v>
      </c>
      <c r="H414" s="15">
        <v>46</v>
      </c>
      <c r="I414" s="15">
        <v>44</v>
      </c>
      <c r="J414" s="15">
        <v>18</v>
      </c>
      <c r="K414" s="15">
        <v>75.2</v>
      </c>
    </row>
    <row r="415" spans="1:11" ht="15" customHeight="1" x14ac:dyDescent="0.2">
      <c r="A415" s="9" t="s">
        <v>1354</v>
      </c>
      <c r="B415" s="9" t="s">
        <v>1568</v>
      </c>
      <c r="C415" s="9" t="s">
        <v>240</v>
      </c>
      <c r="D415" s="9" t="s">
        <v>251</v>
      </c>
      <c r="E415" s="9" t="s">
        <v>261</v>
      </c>
      <c r="F415" s="9" t="s">
        <v>287</v>
      </c>
      <c r="G415" s="10">
        <v>0.6</v>
      </c>
      <c r="H415" s="15">
        <v>33</v>
      </c>
      <c r="I415" s="15">
        <v>11</v>
      </c>
      <c r="J415" s="15">
        <v>9</v>
      </c>
      <c r="K415" s="15">
        <v>11.8</v>
      </c>
    </row>
    <row r="416" spans="1:11" ht="15" customHeight="1" x14ac:dyDescent="0.2">
      <c r="A416" s="9" t="s">
        <v>1355</v>
      </c>
      <c r="B416" s="9" t="s">
        <v>1568</v>
      </c>
      <c r="C416" s="9" t="s">
        <v>240</v>
      </c>
      <c r="D416" s="9" t="s">
        <v>251</v>
      </c>
      <c r="E416" s="9" t="s">
        <v>263</v>
      </c>
      <c r="F416" s="9" t="s">
        <v>287</v>
      </c>
      <c r="G416" s="10">
        <v>0.4</v>
      </c>
      <c r="H416" s="15">
        <v>66</v>
      </c>
      <c r="I416" s="15">
        <v>49</v>
      </c>
      <c r="J416" s="15">
        <v>29</v>
      </c>
      <c r="K416" s="15">
        <v>188.6</v>
      </c>
    </row>
    <row r="417" spans="1:11" ht="15" customHeight="1" x14ac:dyDescent="0.2">
      <c r="A417" s="9" t="s">
        <v>1356</v>
      </c>
      <c r="B417" s="9" t="s">
        <v>1568</v>
      </c>
      <c r="C417" s="9" t="s">
        <v>240</v>
      </c>
      <c r="D417" s="9" t="s">
        <v>251</v>
      </c>
      <c r="E417" s="9" t="s">
        <v>263</v>
      </c>
      <c r="F417" s="9" t="s">
        <v>287</v>
      </c>
      <c r="G417" s="10">
        <v>0.8</v>
      </c>
      <c r="H417" s="15">
        <v>70</v>
      </c>
      <c r="I417" s="15">
        <v>57</v>
      </c>
      <c r="J417" s="15">
        <v>39</v>
      </c>
      <c r="K417" s="15">
        <v>407</v>
      </c>
    </row>
    <row r="418" spans="1:11" ht="15" customHeight="1" x14ac:dyDescent="0.2">
      <c r="A418" s="9" t="s">
        <v>1357</v>
      </c>
      <c r="B418" s="9" t="s">
        <v>1568</v>
      </c>
      <c r="C418" s="9" t="s">
        <v>240</v>
      </c>
      <c r="D418" s="9" t="s">
        <v>251</v>
      </c>
      <c r="E418" s="9" t="s">
        <v>261</v>
      </c>
      <c r="F418" s="9" t="s">
        <v>287</v>
      </c>
      <c r="G418" s="10">
        <v>0.3</v>
      </c>
      <c r="H418" s="15">
        <v>69</v>
      </c>
      <c r="I418" s="15">
        <v>56</v>
      </c>
      <c r="J418" s="15">
        <v>40</v>
      </c>
      <c r="K418" s="15">
        <v>466.5</v>
      </c>
    </row>
    <row r="419" spans="1:11" ht="15" customHeight="1" x14ac:dyDescent="0.2">
      <c r="A419" s="9" t="s">
        <v>1358</v>
      </c>
      <c r="B419" s="9" t="s">
        <v>1568</v>
      </c>
      <c r="C419" s="9" t="s">
        <v>240</v>
      </c>
      <c r="D419" s="9" t="s">
        <v>251</v>
      </c>
      <c r="E419" s="9" t="s">
        <v>262</v>
      </c>
      <c r="F419" s="9" t="s">
        <v>287</v>
      </c>
      <c r="G419" s="10">
        <v>0.3</v>
      </c>
      <c r="H419" s="15">
        <v>73</v>
      </c>
      <c r="I419" s="15">
        <v>62</v>
      </c>
      <c r="J419" s="15">
        <v>13</v>
      </c>
      <c r="K419" s="15">
        <v>167</v>
      </c>
    </row>
    <row r="420" spans="1:11" ht="15" customHeight="1" x14ac:dyDescent="0.2">
      <c r="A420" s="9" t="s">
        <v>1359</v>
      </c>
      <c r="B420" s="9" t="s">
        <v>1568</v>
      </c>
      <c r="C420" s="9" t="s">
        <v>240</v>
      </c>
      <c r="D420" s="9" t="s">
        <v>251</v>
      </c>
      <c r="E420" s="9" t="s">
        <v>261</v>
      </c>
      <c r="F420" s="9" t="s">
        <v>287</v>
      </c>
      <c r="G420" s="10">
        <v>0.15</v>
      </c>
      <c r="H420" s="15">
        <v>54</v>
      </c>
      <c r="I420" s="15">
        <v>45</v>
      </c>
      <c r="J420" s="15">
        <v>7</v>
      </c>
      <c r="K420" s="15">
        <v>33.5</v>
      </c>
    </row>
    <row r="421" spans="1:11" ht="15" customHeight="1" x14ac:dyDescent="0.2">
      <c r="A421" s="9" t="s">
        <v>69</v>
      </c>
      <c r="B421" s="9" t="s">
        <v>1568</v>
      </c>
      <c r="C421" s="9" t="s">
        <v>240</v>
      </c>
      <c r="D421" s="9" t="s">
        <v>251</v>
      </c>
      <c r="E421" s="9" t="s">
        <v>262</v>
      </c>
      <c r="F421" s="9" t="s">
        <v>287</v>
      </c>
      <c r="G421" s="10">
        <v>0.6</v>
      </c>
      <c r="H421" s="15">
        <v>66</v>
      </c>
      <c r="I421" s="15">
        <v>61</v>
      </c>
      <c r="J421" s="15">
        <v>30</v>
      </c>
      <c r="K421" s="15">
        <v>212.3</v>
      </c>
    </row>
    <row r="422" spans="1:11" ht="15" customHeight="1" x14ac:dyDescent="0.2">
      <c r="A422" s="9" t="s">
        <v>1360</v>
      </c>
      <c r="B422" s="9" t="s">
        <v>1568</v>
      </c>
      <c r="C422" s="9" t="s">
        <v>240</v>
      </c>
      <c r="D422" s="9" t="s">
        <v>251</v>
      </c>
      <c r="E422" s="9" t="s">
        <v>261</v>
      </c>
      <c r="F422" s="9" t="s">
        <v>287</v>
      </c>
      <c r="G422" s="10">
        <v>0.3</v>
      </c>
      <c r="H422" s="15">
        <v>72</v>
      </c>
      <c r="I422" s="15">
        <v>51</v>
      </c>
      <c r="J422" s="15">
        <v>51</v>
      </c>
      <c r="K422" s="15">
        <v>192.1</v>
      </c>
    </row>
    <row r="423" spans="1:11" ht="15" customHeight="1" x14ac:dyDescent="0.2">
      <c r="A423" s="9" t="s">
        <v>1361</v>
      </c>
      <c r="B423" s="9" t="s">
        <v>1568</v>
      </c>
      <c r="C423" s="9" t="s">
        <v>240</v>
      </c>
      <c r="D423" s="9" t="s">
        <v>251</v>
      </c>
      <c r="E423" s="9" t="s">
        <v>263</v>
      </c>
      <c r="F423" s="9" t="s">
        <v>287</v>
      </c>
      <c r="G423" s="10">
        <v>0.45</v>
      </c>
      <c r="H423" s="15">
        <v>60</v>
      </c>
      <c r="I423" s="15">
        <v>32</v>
      </c>
      <c r="J423" s="15">
        <v>19</v>
      </c>
      <c r="K423" s="15">
        <v>57</v>
      </c>
    </row>
    <row r="424" spans="1:11" ht="15" customHeight="1" x14ac:dyDescent="0.2">
      <c r="A424" s="9" t="s">
        <v>1362</v>
      </c>
      <c r="B424" s="9" t="s">
        <v>1568</v>
      </c>
      <c r="C424" s="9" t="s">
        <v>240</v>
      </c>
      <c r="D424" s="9" t="s">
        <v>251</v>
      </c>
      <c r="E424" s="9" t="s">
        <v>262</v>
      </c>
      <c r="F424" s="9" t="s">
        <v>287</v>
      </c>
      <c r="G424" s="10">
        <v>0.5</v>
      </c>
      <c r="H424" s="15">
        <v>78</v>
      </c>
      <c r="I424" s="15">
        <v>59</v>
      </c>
      <c r="J424" s="15">
        <v>46</v>
      </c>
      <c r="K424" s="15">
        <v>482.4</v>
      </c>
    </row>
    <row r="425" spans="1:11" ht="15" customHeight="1" x14ac:dyDescent="0.2">
      <c r="A425" s="9" t="s">
        <v>1363</v>
      </c>
      <c r="B425" s="9" t="s">
        <v>1568</v>
      </c>
      <c r="C425" s="9" t="s">
        <v>240</v>
      </c>
      <c r="D425" s="9" t="s">
        <v>251</v>
      </c>
      <c r="E425" s="9" t="s">
        <v>260</v>
      </c>
      <c r="F425" s="9" t="s">
        <v>287</v>
      </c>
      <c r="G425" s="10">
        <v>0.6</v>
      </c>
      <c r="H425" s="15">
        <v>86</v>
      </c>
      <c r="I425" s="15">
        <v>61</v>
      </c>
      <c r="J425" s="15">
        <v>36</v>
      </c>
      <c r="K425" s="15">
        <v>395.4</v>
      </c>
    </row>
    <row r="426" spans="1:11" ht="15" customHeight="1" x14ac:dyDescent="0.2">
      <c r="A426" s="9" t="s">
        <v>1364</v>
      </c>
      <c r="B426" s="9" t="s">
        <v>1568</v>
      </c>
      <c r="C426" s="9" t="s">
        <v>240</v>
      </c>
      <c r="D426" s="9" t="s">
        <v>251</v>
      </c>
      <c r="E426" s="9" t="s">
        <v>261</v>
      </c>
      <c r="F426" s="9" t="s">
        <v>287</v>
      </c>
      <c r="G426" s="10">
        <v>0.8</v>
      </c>
      <c r="H426" s="15">
        <v>75</v>
      </c>
      <c r="I426" s="15">
        <v>48</v>
      </c>
      <c r="J426" s="15">
        <v>32</v>
      </c>
      <c r="K426" s="15">
        <v>227.8</v>
      </c>
    </row>
    <row r="427" spans="1:11" ht="15" customHeight="1" x14ac:dyDescent="0.2">
      <c r="A427" s="9" t="s">
        <v>1365</v>
      </c>
      <c r="B427" s="9" t="s">
        <v>1568</v>
      </c>
      <c r="C427" s="9" t="s">
        <v>249</v>
      </c>
      <c r="D427" s="9" t="s">
        <v>251</v>
      </c>
      <c r="E427" s="9" t="s">
        <v>262</v>
      </c>
      <c r="F427" s="9" t="s">
        <v>287</v>
      </c>
      <c r="G427" s="10">
        <v>0.6</v>
      </c>
      <c r="H427" s="15">
        <v>75</v>
      </c>
      <c r="I427" s="15">
        <v>55</v>
      </c>
      <c r="J427" s="15">
        <v>23</v>
      </c>
      <c r="K427" s="15">
        <v>153.1</v>
      </c>
    </row>
    <row r="428" spans="1:11" ht="15" customHeight="1" x14ac:dyDescent="0.2">
      <c r="A428" s="9" t="s">
        <v>1366</v>
      </c>
      <c r="B428" s="9" t="s">
        <v>1568</v>
      </c>
      <c r="C428" s="9" t="s">
        <v>249</v>
      </c>
      <c r="D428" s="9" t="s">
        <v>251</v>
      </c>
      <c r="E428" s="9" t="s">
        <v>261</v>
      </c>
      <c r="F428" s="9" t="s">
        <v>287</v>
      </c>
      <c r="G428" s="10">
        <v>0.6</v>
      </c>
      <c r="H428" s="15">
        <v>59</v>
      </c>
      <c r="I428" s="15">
        <v>43</v>
      </c>
      <c r="J428" s="15">
        <v>21</v>
      </c>
      <c r="K428" s="15">
        <v>125.6</v>
      </c>
    </row>
    <row r="429" spans="1:11" ht="15" customHeight="1" x14ac:dyDescent="0.2">
      <c r="A429" s="9" t="s">
        <v>1367</v>
      </c>
      <c r="B429" s="9" t="s">
        <v>1568</v>
      </c>
      <c r="C429" s="9" t="s">
        <v>249</v>
      </c>
      <c r="D429" s="9" t="s">
        <v>251</v>
      </c>
      <c r="E429" s="9" t="s">
        <v>262</v>
      </c>
      <c r="F429" s="9" t="s">
        <v>287</v>
      </c>
      <c r="G429" s="10">
        <v>0.55000000000000004</v>
      </c>
      <c r="H429" s="15">
        <v>55</v>
      </c>
      <c r="I429" s="15">
        <v>44</v>
      </c>
      <c r="J429" s="15">
        <v>39</v>
      </c>
      <c r="K429" s="15">
        <v>184.4</v>
      </c>
    </row>
    <row r="430" spans="1:11" ht="15" customHeight="1" x14ac:dyDescent="0.2">
      <c r="A430" s="9" t="s">
        <v>1368</v>
      </c>
      <c r="B430" s="9" t="s">
        <v>1568</v>
      </c>
      <c r="C430" s="9" t="s">
        <v>249</v>
      </c>
      <c r="D430" s="9" t="s">
        <v>251</v>
      </c>
      <c r="E430" s="9" t="s">
        <v>262</v>
      </c>
      <c r="F430" s="9" t="s">
        <v>287</v>
      </c>
      <c r="G430" s="10">
        <v>0.2</v>
      </c>
      <c r="H430" s="15">
        <v>66</v>
      </c>
      <c r="I430" s="15">
        <v>47</v>
      </c>
      <c r="J430" s="15">
        <v>40</v>
      </c>
      <c r="K430" s="15">
        <v>216.1</v>
      </c>
    </row>
    <row r="431" spans="1:11" ht="15" customHeight="1" x14ac:dyDescent="0.2">
      <c r="A431" s="9" t="s">
        <v>1369</v>
      </c>
      <c r="B431" s="9" t="s">
        <v>1568</v>
      </c>
      <c r="C431" s="9" t="s">
        <v>249</v>
      </c>
      <c r="D431" s="9" t="s">
        <v>251</v>
      </c>
      <c r="E431" s="9" t="s">
        <v>260</v>
      </c>
      <c r="F431" s="9" t="s">
        <v>287</v>
      </c>
      <c r="G431" s="10">
        <v>0.4</v>
      </c>
      <c r="H431" s="15">
        <v>65</v>
      </c>
      <c r="I431" s="15">
        <v>69</v>
      </c>
      <c r="J431" s="15">
        <v>38</v>
      </c>
      <c r="K431" s="15">
        <v>218.5</v>
      </c>
    </row>
    <row r="432" spans="1:11" ht="15" customHeight="1" x14ac:dyDescent="0.2">
      <c r="A432" s="9" t="s">
        <v>1370</v>
      </c>
      <c r="B432" s="9" t="s">
        <v>1568</v>
      </c>
      <c r="C432" s="9" t="s">
        <v>249</v>
      </c>
      <c r="D432" s="9" t="s">
        <v>251</v>
      </c>
      <c r="E432" s="9" t="s">
        <v>261</v>
      </c>
      <c r="F432" s="9" t="s">
        <v>287</v>
      </c>
      <c r="G432" s="10">
        <v>0.6</v>
      </c>
      <c r="H432" s="15">
        <v>52</v>
      </c>
      <c r="I432" s="15">
        <v>37</v>
      </c>
      <c r="J432" s="15">
        <v>41</v>
      </c>
      <c r="K432" s="15">
        <v>168.8</v>
      </c>
    </row>
    <row r="433" spans="1:11" ht="15" customHeight="1" x14ac:dyDescent="0.2">
      <c r="A433" s="9" t="s">
        <v>1371</v>
      </c>
      <c r="B433" s="9" t="s">
        <v>1568</v>
      </c>
      <c r="C433" s="9" t="s">
        <v>249</v>
      </c>
      <c r="D433" s="9" t="s">
        <v>251</v>
      </c>
      <c r="E433" s="9" t="s">
        <v>261</v>
      </c>
      <c r="F433" s="9" t="s">
        <v>287</v>
      </c>
      <c r="G433" s="10">
        <v>0.5</v>
      </c>
      <c r="H433" s="15">
        <v>104</v>
      </c>
      <c r="I433" s="15">
        <v>64</v>
      </c>
      <c r="J433" s="15">
        <v>40</v>
      </c>
      <c r="K433" s="15">
        <v>787.5</v>
      </c>
    </row>
    <row r="434" spans="1:11" ht="15" customHeight="1" x14ac:dyDescent="0.2">
      <c r="A434" s="9" t="s">
        <v>1372</v>
      </c>
      <c r="B434" s="9" t="s">
        <v>1568</v>
      </c>
      <c r="C434" s="9" t="s">
        <v>249</v>
      </c>
      <c r="D434" s="9" t="s">
        <v>251</v>
      </c>
      <c r="E434" s="9" t="s">
        <v>262</v>
      </c>
      <c r="F434" s="9" t="s">
        <v>287</v>
      </c>
      <c r="G434" s="10">
        <v>0.4</v>
      </c>
      <c r="H434" s="15">
        <v>64</v>
      </c>
      <c r="I434" s="15">
        <v>49</v>
      </c>
      <c r="J434" s="15">
        <v>37</v>
      </c>
      <c r="K434" s="15">
        <v>336.4</v>
      </c>
    </row>
    <row r="435" spans="1:11" ht="15" customHeight="1" x14ac:dyDescent="0.2">
      <c r="A435" s="9" t="s">
        <v>1373</v>
      </c>
      <c r="B435" s="9" t="s">
        <v>1568</v>
      </c>
      <c r="C435" s="9" t="s">
        <v>249</v>
      </c>
      <c r="D435" s="9" t="s">
        <v>251</v>
      </c>
      <c r="E435" s="9" t="s">
        <v>263</v>
      </c>
      <c r="F435" s="9" t="s">
        <v>287</v>
      </c>
      <c r="G435" s="10">
        <v>0.55000000000000004</v>
      </c>
      <c r="H435" s="15">
        <v>72</v>
      </c>
      <c r="I435" s="15">
        <v>45</v>
      </c>
      <c r="J435" s="15">
        <v>26</v>
      </c>
      <c r="K435" s="15">
        <v>166.8</v>
      </c>
    </row>
    <row r="436" spans="1:11" ht="15" customHeight="1" x14ac:dyDescent="0.2">
      <c r="A436" s="9" t="s">
        <v>1374</v>
      </c>
      <c r="B436" s="9" t="s">
        <v>1568</v>
      </c>
      <c r="C436" s="9" t="s">
        <v>249</v>
      </c>
      <c r="D436" s="9" t="s">
        <v>251</v>
      </c>
      <c r="E436" s="9" t="s">
        <v>261</v>
      </c>
      <c r="F436" s="9" t="s">
        <v>287</v>
      </c>
      <c r="G436" s="10">
        <v>0.55000000000000004</v>
      </c>
      <c r="H436" s="15">
        <v>61</v>
      </c>
      <c r="I436" s="15">
        <v>49</v>
      </c>
      <c r="J436" s="15">
        <v>32</v>
      </c>
      <c r="K436" s="15">
        <v>184.5</v>
      </c>
    </row>
    <row r="437" spans="1:11" ht="15" customHeight="1" x14ac:dyDescent="0.2">
      <c r="A437" s="9" t="s">
        <v>1375</v>
      </c>
      <c r="B437" s="9" t="s">
        <v>1568</v>
      </c>
      <c r="C437" s="9" t="s">
        <v>249</v>
      </c>
      <c r="D437" s="9" t="s">
        <v>251</v>
      </c>
      <c r="E437" s="9" t="s">
        <v>263</v>
      </c>
      <c r="F437" s="9" t="s">
        <v>287</v>
      </c>
      <c r="G437" s="10">
        <v>0.4</v>
      </c>
      <c r="H437" s="15">
        <v>49</v>
      </c>
      <c r="I437" s="15">
        <v>58</v>
      </c>
      <c r="J437" s="15">
        <v>32</v>
      </c>
      <c r="K437" s="15">
        <v>212.7</v>
      </c>
    </row>
    <row r="438" spans="1:11" ht="15" customHeight="1" x14ac:dyDescent="0.2">
      <c r="A438" s="9" t="s">
        <v>1376</v>
      </c>
      <c r="B438" s="9" t="s">
        <v>1568</v>
      </c>
      <c r="C438" s="9" t="s">
        <v>249</v>
      </c>
      <c r="D438" s="9" t="s">
        <v>251</v>
      </c>
      <c r="E438" s="9" t="s">
        <v>260</v>
      </c>
      <c r="F438" s="9" t="s">
        <v>287</v>
      </c>
      <c r="G438" s="10">
        <v>0.3</v>
      </c>
      <c r="H438" s="15">
        <v>55</v>
      </c>
      <c r="I438" s="15">
        <v>42</v>
      </c>
      <c r="J438" s="15">
        <v>23</v>
      </c>
      <c r="K438" s="15">
        <v>95.4</v>
      </c>
    </row>
    <row r="439" spans="1:11" ht="15" customHeight="1" x14ac:dyDescent="0.2">
      <c r="A439" s="9" t="s">
        <v>1377</v>
      </c>
      <c r="B439" s="9" t="s">
        <v>1568</v>
      </c>
      <c r="C439" s="9" t="s">
        <v>249</v>
      </c>
      <c r="D439" s="9" t="s">
        <v>251</v>
      </c>
      <c r="E439" s="9" t="s">
        <v>260</v>
      </c>
      <c r="F439" s="9" t="s">
        <v>287</v>
      </c>
      <c r="G439" s="10">
        <v>0.3</v>
      </c>
      <c r="H439" s="15">
        <v>66</v>
      </c>
      <c r="I439" s="15">
        <v>51</v>
      </c>
      <c r="J439" s="15">
        <v>27</v>
      </c>
      <c r="K439" s="15">
        <v>206.3</v>
      </c>
    </row>
    <row r="440" spans="1:11" ht="15" customHeight="1" x14ac:dyDescent="0.2">
      <c r="A440" s="9" t="s">
        <v>1378</v>
      </c>
      <c r="B440" s="9" t="s">
        <v>1568</v>
      </c>
      <c r="C440" s="9" t="s">
        <v>249</v>
      </c>
      <c r="D440" s="9" t="s">
        <v>251</v>
      </c>
      <c r="E440" s="9" t="s">
        <v>262</v>
      </c>
      <c r="F440" s="9" t="s">
        <v>287</v>
      </c>
      <c r="G440" s="10">
        <v>0.65</v>
      </c>
      <c r="H440" s="15">
        <v>75</v>
      </c>
      <c r="I440" s="15">
        <v>62</v>
      </c>
      <c r="J440" s="15">
        <v>32</v>
      </c>
      <c r="K440" s="15">
        <v>367.2</v>
      </c>
    </row>
    <row r="441" spans="1:11" ht="15" customHeight="1" x14ac:dyDescent="0.2">
      <c r="A441" s="9" t="s">
        <v>1379</v>
      </c>
      <c r="B441" s="9" t="s">
        <v>1568</v>
      </c>
      <c r="C441" s="9" t="s">
        <v>249</v>
      </c>
      <c r="D441" s="9" t="s">
        <v>251</v>
      </c>
      <c r="E441" s="9" t="s">
        <v>262</v>
      </c>
      <c r="F441" s="9" t="s">
        <v>287</v>
      </c>
      <c r="G441" s="10">
        <v>0.6</v>
      </c>
      <c r="H441" s="15">
        <v>51</v>
      </c>
      <c r="I441" s="15">
        <v>44</v>
      </c>
      <c r="J441" s="15">
        <v>42</v>
      </c>
      <c r="K441" s="15">
        <v>252.7</v>
      </c>
    </row>
    <row r="442" spans="1:11" ht="15" customHeight="1" x14ac:dyDescent="0.2">
      <c r="A442" s="9" t="s">
        <v>1380</v>
      </c>
      <c r="B442" s="9" t="s">
        <v>1568</v>
      </c>
      <c r="C442" s="9" t="s">
        <v>249</v>
      </c>
      <c r="D442" s="9" t="s">
        <v>251</v>
      </c>
      <c r="E442" s="9" t="s">
        <v>260</v>
      </c>
      <c r="F442" s="9" t="s">
        <v>287</v>
      </c>
      <c r="G442" s="10">
        <v>0.7</v>
      </c>
      <c r="H442" s="15">
        <v>61</v>
      </c>
      <c r="I442" s="15">
        <v>38</v>
      </c>
      <c r="J442" s="15">
        <v>30</v>
      </c>
      <c r="K442" s="15">
        <v>146.80000000000001</v>
      </c>
    </row>
    <row r="443" spans="1:11" ht="15" customHeight="1" x14ac:dyDescent="0.2">
      <c r="A443" s="9" t="s">
        <v>1381</v>
      </c>
      <c r="B443" s="9" t="s">
        <v>1568</v>
      </c>
      <c r="C443" s="9" t="s">
        <v>249</v>
      </c>
      <c r="D443" s="9" t="s">
        <v>251</v>
      </c>
      <c r="E443" s="9" t="s">
        <v>262</v>
      </c>
      <c r="F443" s="9" t="s">
        <v>287</v>
      </c>
      <c r="G443" s="10">
        <v>0.4</v>
      </c>
      <c r="H443" s="15">
        <v>45</v>
      </c>
      <c r="I443" s="15">
        <v>39</v>
      </c>
      <c r="J443" s="15">
        <v>7</v>
      </c>
      <c r="K443" s="15">
        <v>25.5</v>
      </c>
    </row>
    <row r="444" spans="1:11" ht="15" customHeight="1" x14ac:dyDescent="0.2">
      <c r="A444" s="9" t="s">
        <v>1382</v>
      </c>
      <c r="B444" s="9" t="s">
        <v>1568</v>
      </c>
      <c r="C444" s="9" t="s">
        <v>249</v>
      </c>
      <c r="D444" s="9" t="s">
        <v>251</v>
      </c>
      <c r="E444" s="9" t="s">
        <v>260</v>
      </c>
      <c r="F444" s="9" t="s">
        <v>287</v>
      </c>
      <c r="G444" s="10">
        <v>0.4</v>
      </c>
      <c r="H444" s="15">
        <v>79</v>
      </c>
      <c r="I444" s="15">
        <v>64</v>
      </c>
      <c r="J444" s="15">
        <v>45</v>
      </c>
      <c r="K444" s="15">
        <v>417.7</v>
      </c>
    </row>
    <row r="445" spans="1:11" ht="15" customHeight="1" x14ac:dyDescent="0.2">
      <c r="A445" s="9" t="s">
        <v>1383</v>
      </c>
      <c r="B445" s="9" t="s">
        <v>1568</v>
      </c>
      <c r="C445" s="9" t="s">
        <v>249</v>
      </c>
      <c r="D445" s="9" t="s">
        <v>251</v>
      </c>
      <c r="E445" s="9" t="s">
        <v>261</v>
      </c>
      <c r="F445" s="9" t="s">
        <v>287</v>
      </c>
      <c r="G445" s="10">
        <v>0.2</v>
      </c>
      <c r="H445" s="15">
        <v>54</v>
      </c>
      <c r="I445" s="15">
        <v>45</v>
      </c>
      <c r="J445" s="15">
        <v>32</v>
      </c>
      <c r="K445" s="15">
        <v>144.1</v>
      </c>
    </row>
    <row r="446" spans="1:11" ht="15" customHeight="1" x14ac:dyDescent="0.2">
      <c r="A446" s="9" t="s">
        <v>1384</v>
      </c>
      <c r="B446" s="9" t="s">
        <v>1568</v>
      </c>
      <c r="C446" s="9" t="s">
        <v>249</v>
      </c>
      <c r="D446" s="9" t="s">
        <v>251</v>
      </c>
      <c r="E446" s="9" t="s">
        <v>262</v>
      </c>
      <c r="F446" s="9" t="s">
        <v>287</v>
      </c>
      <c r="G446" s="10">
        <v>0.4</v>
      </c>
      <c r="H446" s="15">
        <v>70</v>
      </c>
      <c r="I446" s="15">
        <v>66</v>
      </c>
      <c r="J446" s="15">
        <v>35</v>
      </c>
      <c r="K446" s="15">
        <v>333.8</v>
      </c>
    </row>
    <row r="447" spans="1:11" ht="15" customHeight="1" x14ac:dyDescent="0.2">
      <c r="A447" s="9" t="s">
        <v>1385</v>
      </c>
      <c r="B447" s="9" t="s">
        <v>1568</v>
      </c>
      <c r="C447" s="9" t="s">
        <v>249</v>
      </c>
      <c r="D447" s="9" t="s">
        <v>251</v>
      </c>
      <c r="E447" s="9" t="s">
        <v>262</v>
      </c>
      <c r="F447" s="9" t="s">
        <v>287</v>
      </c>
      <c r="G447" s="10">
        <v>0.4</v>
      </c>
      <c r="H447" s="15">
        <v>69</v>
      </c>
      <c r="I447" s="15">
        <v>68</v>
      </c>
      <c r="J447" s="15">
        <v>42</v>
      </c>
      <c r="K447" s="15">
        <v>452.7</v>
      </c>
    </row>
    <row r="448" spans="1:11" ht="15" customHeight="1" x14ac:dyDescent="0.2">
      <c r="A448" s="9" t="s">
        <v>1386</v>
      </c>
      <c r="B448" s="9" t="s">
        <v>1568</v>
      </c>
      <c r="C448" s="9" t="s">
        <v>249</v>
      </c>
      <c r="D448" s="9" t="s">
        <v>251</v>
      </c>
      <c r="E448" s="9" t="s">
        <v>262</v>
      </c>
      <c r="F448" s="9" t="s">
        <v>287</v>
      </c>
      <c r="G448" s="10">
        <v>0.15</v>
      </c>
      <c r="H448" s="15">
        <v>49</v>
      </c>
      <c r="I448" s="15">
        <v>27</v>
      </c>
      <c r="J448" s="15">
        <v>39</v>
      </c>
      <c r="K448" s="15">
        <v>130.80000000000001</v>
      </c>
    </row>
    <row r="449" spans="1:11" ht="15" customHeight="1" x14ac:dyDescent="0.2">
      <c r="A449" s="9" t="s">
        <v>1387</v>
      </c>
      <c r="B449" s="9" t="s">
        <v>1568</v>
      </c>
      <c r="C449" s="9" t="s">
        <v>249</v>
      </c>
      <c r="D449" s="9" t="s">
        <v>251</v>
      </c>
      <c r="E449" s="9" t="s">
        <v>260</v>
      </c>
      <c r="F449" s="9" t="s">
        <v>287</v>
      </c>
      <c r="G449" s="10">
        <v>0.6</v>
      </c>
      <c r="H449" s="15">
        <v>58</v>
      </c>
      <c r="I449" s="15">
        <v>48</v>
      </c>
      <c r="J449" s="15">
        <v>22</v>
      </c>
      <c r="K449" s="15">
        <v>114</v>
      </c>
    </row>
    <row r="450" spans="1:11" ht="15" customHeight="1" x14ac:dyDescent="0.2">
      <c r="A450" s="9" t="s">
        <v>1388</v>
      </c>
      <c r="B450" s="9" t="s">
        <v>1568</v>
      </c>
      <c r="C450" s="9" t="s">
        <v>249</v>
      </c>
      <c r="D450" s="9" t="s">
        <v>251</v>
      </c>
      <c r="E450" s="9" t="s">
        <v>262</v>
      </c>
      <c r="F450" s="9" t="s">
        <v>287</v>
      </c>
      <c r="G450" s="10">
        <v>0.25</v>
      </c>
      <c r="H450" s="15">
        <v>52</v>
      </c>
      <c r="I450" s="15">
        <v>43</v>
      </c>
      <c r="J450" s="15">
        <v>29</v>
      </c>
      <c r="K450" s="15">
        <v>182.4</v>
      </c>
    </row>
    <row r="451" spans="1:11" ht="15" customHeight="1" x14ac:dyDescent="0.2">
      <c r="A451" s="9" t="s">
        <v>1389</v>
      </c>
      <c r="B451" s="9" t="s">
        <v>1568</v>
      </c>
      <c r="C451" s="9" t="s">
        <v>249</v>
      </c>
      <c r="D451" s="9" t="s">
        <v>251</v>
      </c>
      <c r="E451" s="9" t="s">
        <v>261</v>
      </c>
      <c r="F451" s="9" t="s">
        <v>287</v>
      </c>
      <c r="G451" s="10">
        <v>0.31</v>
      </c>
      <c r="H451" s="15">
        <v>33</v>
      </c>
      <c r="I451" s="15">
        <v>22</v>
      </c>
      <c r="J451" s="15">
        <v>15</v>
      </c>
      <c r="K451" s="15">
        <v>22.3</v>
      </c>
    </row>
    <row r="452" spans="1:11" ht="15" customHeight="1" x14ac:dyDescent="0.2">
      <c r="A452" s="9" t="s">
        <v>1390</v>
      </c>
      <c r="B452" s="9" t="s">
        <v>1568</v>
      </c>
      <c r="C452" s="9" t="s">
        <v>249</v>
      </c>
      <c r="D452" s="9" t="s">
        <v>251</v>
      </c>
      <c r="E452" s="9" t="s">
        <v>261</v>
      </c>
      <c r="F452" s="9" t="s">
        <v>287</v>
      </c>
      <c r="G452" s="10">
        <v>0.95</v>
      </c>
      <c r="H452" s="15">
        <v>77</v>
      </c>
      <c r="I452" s="15">
        <v>47</v>
      </c>
      <c r="J452" s="15">
        <v>45</v>
      </c>
      <c r="K452" s="15">
        <v>348.8</v>
      </c>
    </row>
    <row r="453" spans="1:11" ht="15" customHeight="1" x14ac:dyDescent="0.2">
      <c r="A453" s="9" t="s">
        <v>1391</v>
      </c>
      <c r="B453" s="9" t="s">
        <v>1568</v>
      </c>
      <c r="C453" s="9" t="s">
        <v>249</v>
      </c>
      <c r="D453" s="9" t="s">
        <v>251</v>
      </c>
      <c r="E453" s="9" t="s">
        <v>261</v>
      </c>
      <c r="F453" s="9" t="s">
        <v>287</v>
      </c>
      <c r="G453" s="10">
        <v>0.6</v>
      </c>
      <c r="H453" s="15">
        <v>85</v>
      </c>
      <c r="I453" s="15">
        <v>46</v>
      </c>
      <c r="J453" s="15">
        <v>29</v>
      </c>
      <c r="K453" s="15">
        <v>213.1</v>
      </c>
    </row>
    <row r="454" spans="1:11" ht="15" customHeight="1" x14ac:dyDescent="0.2">
      <c r="A454" s="9" t="s">
        <v>1392</v>
      </c>
      <c r="B454" s="9" t="s">
        <v>1568</v>
      </c>
      <c r="C454" s="9" t="s">
        <v>249</v>
      </c>
      <c r="D454" s="9" t="s">
        <v>251</v>
      </c>
      <c r="E454" s="9" t="s">
        <v>262</v>
      </c>
      <c r="F454" s="9" t="s">
        <v>287</v>
      </c>
      <c r="G454" s="10">
        <v>0.4</v>
      </c>
      <c r="H454" s="15">
        <v>78</v>
      </c>
      <c r="I454" s="15">
        <v>48</v>
      </c>
      <c r="J454" s="15">
        <v>36</v>
      </c>
      <c r="K454" s="15">
        <v>187.3</v>
      </c>
    </row>
    <row r="455" spans="1:11" ht="15" customHeight="1" x14ac:dyDescent="0.2">
      <c r="A455" s="9" t="s">
        <v>1393</v>
      </c>
      <c r="B455" s="9" t="s">
        <v>1568</v>
      </c>
      <c r="C455" s="9" t="s">
        <v>249</v>
      </c>
      <c r="D455" s="9" t="s">
        <v>251</v>
      </c>
      <c r="E455" s="9" t="s">
        <v>261</v>
      </c>
      <c r="F455" s="9" t="s">
        <v>287</v>
      </c>
      <c r="G455" s="10">
        <v>0.4</v>
      </c>
      <c r="H455" s="15">
        <v>47</v>
      </c>
      <c r="I455" s="15">
        <v>51</v>
      </c>
      <c r="J455" s="15">
        <v>31</v>
      </c>
      <c r="K455" s="15">
        <v>251.2</v>
      </c>
    </row>
    <row r="456" spans="1:11" ht="15" customHeight="1" x14ac:dyDescent="0.2">
      <c r="A456" s="9" t="s">
        <v>1394</v>
      </c>
      <c r="B456" s="9" t="s">
        <v>1568</v>
      </c>
      <c r="C456" s="9" t="s">
        <v>249</v>
      </c>
      <c r="D456" s="9" t="s">
        <v>251</v>
      </c>
      <c r="E456" s="9" t="s">
        <v>261</v>
      </c>
      <c r="F456" s="9" t="s">
        <v>287</v>
      </c>
      <c r="G456" s="10">
        <v>0.65</v>
      </c>
      <c r="H456" s="15">
        <v>69</v>
      </c>
      <c r="I456" s="15">
        <v>48</v>
      </c>
      <c r="J456" s="15">
        <v>36</v>
      </c>
      <c r="K456" s="15">
        <v>292.7</v>
      </c>
    </row>
    <row r="457" spans="1:11" ht="15" customHeight="1" x14ac:dyDescent="0.2">
      <c r="A457" s="9" t="s">
        <v>1395</v>
      </c>
      <c r="B457" s="9" t="s">
        <v>1568</v>
      </c>
      <c r="C457" s="9" t="s">
        <v>249</v>
      </c>
      <c r="D457" s="9" t="s">
        <v>253</v>
      </c>
      <c r="E457" s="9" t="s">
        <v>262</v>
      </c>
      <c r="F457" s="9" t="s">
        <v>287</v>
      </c>
      <c r="G457" s="10">
        <v>0.5</v>
      </c>
      <c r="H457" s="15">
        <v>56</v>
      </c>
      <c r="I457" s="15">
        <v>49</v>
      </c>
      <c r="J457" s="15">
        <v>39</v>
      </c>
      <c r="K457" s="15">
        <v>218.7</v>
      </c>
    </row>
    <row r="458" spans="1:11" ht="15" customHeight="1" x14ac:dyDescent="0.2">
      <c r="A458" s="9" t="s">
        <v>1396</v>
      </c>
      <c r="B458" s="9" t="s">
        <v>1568</v>
      </c>
      <c r="C458" s="9" t="s">
        <v>249</v>
      </c>
      <c r="D458" s="9" t="s">
        <v>253</v>
      </c>
      <c r="E458" s="9" t="s">
        <v>261</v>
      </c>
      <c r="F458" s="9" t="s">
        <v>287</v>
      </c>
      <c r="G458" s="10">
        <v>0.5</v>
      </c>
      <c r="H458" s="15">
        <v>61</v>
      </c>
      <c r="I458" s="15">
        <v>35</v>
      </c>
      <c r="J458" s="15">
        <v>27</v>
      </c>
      <c r="K458" s="15">
        <v>125.4</v>
      </c>
    </row>
    <row r="459" spans="1:11" ht="15" customHeight="1" x14ac:dyDescent="0.2">
      <c r="A459" s="9" t="s">
        <v>368</v>
      </c>
      <c r="B459" s="9" t="s">
        <v>1569</v>
      </c>
      <c r="C459" s="9" t="s">
        <v>241</v>
      </c>
      <c r="D459" s="9" t="s">
        <v>253</v>
      </c>
      <c r="E459" s="9" t="s">
        <v>261</v>
      </c>
      <c r="F459" s="9" t="s">
        <v>287</v>
      </c>
      <c r="G459" s="10">
        <v>0.6</v>
      </c>
      <c r="H459" s="15">
        <v>70</v>
      </c>
      <c r="I459" s="15">
        <v>47</v>
      </c>
      <c r="J459" s="15">
        <v>24</v>
      </c>
      <c r="K459" s="15">
        <v>92.5</v>
      </c>
    </row>
    <row r="460" spans="1:11" ht="15" customHeight="1" x14ac:dyDescent="0.2">
      <c r="A460" s="9" t="s">
        <v>369</v>
      </c>
      <c r="B460" s="9" t="s">
        <v>1569</v>
      </c>
      <c r="C460" s="9" t="s">
        <v>241</v>
      </c>
      <c r="D460" s="9" t="s">
        <v>251</v>
      </c>
      <c r="E460" s="9" t="s">
        <v>261</v>
      </c>
      <c r="F460" s="9" t="s">
        <v>287</v>
      </c>
      <c r="G460" s="10">
        <v>0.4</v>
      </c>
      <c r="H460" s="15">
        <v>63</v>
      </c>
      <c r="I460" s="15">
        <v>61</v>
      </c>
      <c r="J460" s="15">
        <v>36</v>
      </c>
      <c r="K460" s="15">
        <v>121.2</v>
      </c>
    </row>
    <row r="461" spans="1:11" ht="15" customHeight="1" x14ac:dyDescent="0.2">
      <c r="A461" s="9" t="s">
        <v>370</v>
      </c>
      <c r="B461" s="9" t="s">
        <v>1569</v>
      </c>
      <c r="C461" s="9" t="s">
        <v>241</v>
      </c>
      <c r="D461" s="9" t="s">
        <v>255</v>
      </c>
      <c r="E461" s="9" t="s">
        <v>261</v>
      </c>
      <c r="F461" s="9" t="s">
        <v>287</v>
      </c>
      <c r="G461" s="10">
        <v>0.7</v>
      </c>
      <c r="H461" s="15">
        <v>102</v>
      </c>
      <c r="I461" s="15">
        <v>85</v>
      </c>
      <c r="J461" s="15">
        <v>35</v>
      </c>
      <c r="K461" s="15">
        <v>390</v>
      </c>
    </row>
    <row r="462" spans="1:11" ht="15" customHeight="1" x14ac:dyDescent="0.2">
      <c r="A462" s="9" t="s">
        <v>1397</v>
      </c>
      <c r="B462" s="9" t="s">
        <v>1569</v>
      </c>
      <c r="C462" s="9" t="s">
        <v>241</v>
      </c>
      <c r="D462" s="9" t="s">
        <v>253</v>
      </c>
      <c r="E462" s="9" t="s">
        <v>261</v>
      </c>
      <c r="F462" s="9" t="s">
        <v>287</v>
      </c>
      <c r="G462" s="10">
        <v>0.4</v>
      </c>
      <c r="H462" s="15">
        <v>56</v>
      </c>
      <c r="I462" s="15">
        <v>39</v>
      </c>
      <c r="J462" s="15">
        <v>21</v>
      </c>
      <c r="K462" s="15">
        <v>108.2</v>
      </c>
    </row>
    <row r="463" spans="1:11" ht="15" customHeight="1" x14ac:dyDescent="0.2">
      <c r="A463" s="9" t="s">
        <v>1398</v>
      </c>
      <c r="B463" s="9" t="s">
        <v>1569</v>
      </c>
      <c r="C463" s="9" t="s">
        <v>241</v>
      </c>
      <c r="D463" s="9" t="s">
        <v>253</v>
      </c>
      <c r="E463" s="9" t="s">
        <v>261</v>
      </c>
      <c r="F463" s="9" t="s">
        <v>287</v>
      </c>
      <c r="G463" s="10">
        <v>0.6</v>
      </c>
      <c r="H463" s="15">
        <v>91</v>
      </c>
      <c r="I463" s="15">
        <v>64</v>
      </c>
      <c r="J463" s="15">
        <v>43</v>
      </c>
      <c r="K463" s="15">
        <v>406.4</v>
      </c>
    </row>
    <row r="464" spans="1:11" ht="15" customHeight="1" x14ac:dyDescent="0.2">
      <c r="A464" s="9" t="s">
        <v>371</v>
      </c>
      <c r="B464" s="9" t="s">
        <v>1570</v>
      </c>
      <c r="C464" s="9" t="s">
        <v>242</v>
      </c>
      <c r="D464" s="9" t="s">
        <v>251</v>
      </c>
      <c r="E464" s="9" t="s">
        <v>261</v>
      </c>
      <c r="F464" s="9" t="s">
        <v>287</v>
      </c>
      <c r="G464" s="10">
        <v>0.4</v>
      </c>
      <c r="H464" s="15">
        <v>66</v>
      </c>
      <c r="I464" s="15">
        <v>45</v>
      </c>
      <c r="J464" s="15">
        <v>25</v>
      </c>
      <c r="K464" s="15">
        <v>58.7</v>
      </c>
    </row>
    <row r="465" spans="1:11" ht="15" customHeight="1" x14ac:dyDescent="0.2">
      <c r="A465" s="9" t="s">
        <v>372</v>
      </c>
      <c r="B465" s="9" t="s">
        <v>1570</v>
      </c>
      <c r="C465" s="9" t="s">
        <v>242</v>
      </c>
      <c r="D465" s="9" t="s">
        <v>258</v>
      </c>
      <c r="E465" s="9" t="s">
        <v>261</v>
      </c>
      <c r="F465" s="9" t="s">
        <v>287</v>
      </c>
      <c r="G465" s="10">
        <v>0.7</v>
      </c>
      <c r="H465" s="15">
        <v>82</v>
      </c>
      <c r="I465" s="15">
        <v>68</v>
      </c>
      <c r="J465" s="15">
        <v>54</v>
      </c>
      <c r="K465" s="15">
        <v>412.6</v>
      </c>
    </row>
    <row r="466" spans="1:11" ht="15" customHeight="1" x14ac:dyDescent="0.2">
      <c r="A466" s="9" t="s">
        <v>373</v>
      </c>
      <c r="B466" s="9" t="s">
        <v>1570</v>
      </c>
      <c r="C466" s="9" t="s">
        <v>242</v>
      </c>
      <c r="D466" s="9" t="s">
        <v>251</v>
      </c>
      <c r="E466" s="9" t="s">
        <v>261</v>
      </c>
      <c r="F466" s="9" t="s">
        <v>287</v>
      </c>
      <c r="G466" s="10">
        <v>0.35</v>
      </c>
      <c r="H466" s="15">
        <v>80</v>
      </c>
      <c r="I466" s="15">
        <v>50</v>
      </c>
      <c r="J466" s="15">
        <v>29</v>
      </c>
      <c r="K466" s="15">
        <v>113.9</v>
      </c>
    </row>
    <row r="467" spans="1:11" ht="15" customHeight="1" x14ac:dyDescent="0.2">
      <c r="A467" s="9" t="s">
        <v>374</v>
      </c>
      <c r="B467" s="9" t="s">
        <v>1570</v>
      </c>
      <c r="C467" s="9" t="s">
        <v>242</v>
      </c>
      <c r="D467" s="9" t="s">
        <v>251</v>
      </c>
      <c r="E467" s="9" t="s">
        <v>260</v>
      </c>
      <c r="F467" s="9" t="s">
        <v>287</v>
      </c>
      <c r="G467" s="10">
        <v>0.35</v>
      </c>
      <c r="H467" s="15">
        <v>93</v>
      </c>
      <c r="I467" s="15">
        <v>48</v>
      </c>
      <c r="J467" s="15">
        <v>33</v>
      </c>
      <c r="K467" s="15">
        <v>175.7</v>
      </c>
    </row>
    <row r="468" spans="1:11" ht="15" customHeight="1" x14ac:dyDescent="0.2">
      <c r="A468" s="9" t="s">
        <v>375</v>
      </c>
      <c r="B468" s="9" t="s">
        <v>1570</v>
      </c>
      <c r="C468" s="9" t="s">
        <v>242</v>
      </c>
      <c r="D468" s="9" t="s">
        <v>251</v>
      </c>
      <c r="E468" s="9" t="s">
        <v>260</v>
      </c>
      <c r="F468" s="9" t="s">
        <v>287</v>
      </c>
      <c r="G468" s="10">
        <v>0.4</v>
      </c>
      <c r="H468" s="15">
        <v>67</v>
      </c>
      <c r="I468" s="15">
        <v>64</v>
      </c>
      <c r="J468" s="15">
        <v>39</v>
      </c>
      <c r="K468" s="15">
        <v>152.9</v>
      </c>
    </row>
    <row r="469" spans="1:11" ht="15" customHeight="1" x14ac:dyDescent="0.2">
      <c r="A469" s="9" t="s">
        <v>376</v>
      </c>
      <c r="B469" s="9" t="s">
        <v>1570</v>
      </c>
      <c r="C469" s="9" t="s">
        <v>242</v>
      </c>
      <c r="D469" s="9" t="s">
        <v>251</v>
      </c>
      <c r="E469" s="9" t="s">
        <v>262</v>
      </c>
      <c r="F469" s="9" t="s">
        <v>287</v>
      </c>
      <c r="G469" s="10">
        <v>0.6</v>
      </c>
      <c r="H469" s="15">
        <v>57</v>
      </c>
      <c r="I469" s="15">
        <v>43</v>
      </c>
      <c r="J469" s="15">
        <v>16</v>
      </c>
      <c r="K469" s="15">
        <v>58.7</v>
      </c>
    </row>
    <row r="470" spans="1:11" ht="15" customHeight="1" x14ac:dyDescent="0.2">
      <c r="A470" s="9" t="s">
        <v>377</v>
      </c>
      <c r="B470" s="9" t="s">
        <v>1570</v>
      </c>
      <c r="C470" s="9" t="s">
        <v>242</v>
      </c>
      <c r="D470" s="9" t="s">
        <v>258</v>
      </c>
      <c r="E470" s="9" t="s">
        <v>261</v>
      </c>
      <c r="F470" s="9" t="s">
        <v>287</v>
      </c>
      <c r="G470" s="10">
        <v>0.35</v>
      </c>
      <c r="H470" s="15">
        <v>88</v>
      </c>
      <c r="I470" s="15">
        <v>52</v>
      </c>
      <c r="J470" s="15">
        <v>47</v>
      </c>
      <c r="K470" s="15">
        <v>266.10000000000002</v>
      </c>
    </row>
    <row r="471" spans="1:11" ht="15" customHeight="1" x14ac:dyDescent="0.2">
      <c r="A471" s="9" t="s">
        <v>378</v>
      </c>
      <c r="B471" s="9" t="s">
        <v>1570</v>
      </c>
      <c r="C471" s="9" t="s">
        <v>242</v>
      </c>
      <c r="D471" s="9" t="s">
        <v>251</v>
      </c>
      <c r="E471" s="9" t="s">
        <v>260</v>
      </c>
      <c r="F471" s="9" t="s">
        <v>287</v>
      </c>
      <c r="G471" s="10">
        <v>0.8</v>
      </c>
      <c r="H471" s="15">
        <v>117</v>
      </c>
      <c r="I471" s="15">
        <v>109</v>
      </c>
      <c r="J471" s="15">
        <v>80</v>
      </c>
      <c r="K471" s="15">
        <v>1038.4000000000001</v>
      </c>
    </row>
    <row r="472" spans="1:11" ht="15" customHeight="1" x14ac:dyDescent="0.2">
      <c r="A472" s="9" t="s">
        <v>379</v>
      </c>
      <c r="B472" s="9" t="s">
        <v>1570</v>
      </c>
      <c r="C472" s="9" t="s">
        <v>242</v>
      </c>
      <c r="D472" s="9" t="s">
        <v>258</v>
      </c>
      <c r="E472" s="9" t="s">
        <v>261</v>
      </c>
      <c r="F472" s="9" t="s">
        <v>287</v>
      </c>
      <c r="G472" s="10">
        <v>0.3</v>
      </c>
      <c r="H472" s="15">
        <v>69</v>
      </c>
      <c r="I472" s="15">
        <v>55</v>
      </c>
      <c r="J472" s="15">
        <v>19</v>
      </c>
      <c r="K472" s="15">
        <v>93.7</v>
      </c>
    </row>
    <row r="473" spans="1:11" ht="15" customHeight="1" x14ac:dyDescent="0.2">
      <c r="A473" s="9" t="s">
        <v>380</v>
      </c>
      <c r="B473" s="9" t="s">
        <v>1570</v>
      </c>
      <c r="C473" s="9" t="s">
        <v>242</v>
      </c>
      <c r="D473" s="9" t="s">
        <v>251</v>
      </c>
      <c r="E473" s="9" t="s">
        <v>261</v>
      </c>
      <c r="F473" s="9" t="s">
        <v>287</v>
      </c>
      <c r="G473" s="10">
        <v>0.4</v>
      </c>
      <c r="H473" s="15">
        <v>93</v>
      </c>
      <c r="I473" s="15">
        <v>63</v>
      </c>
      <c r="J473" s="15">
        <v>32</v>
      </c>
      <c r="K473" s="15">
        <v>179.6</v>
      </c>
    </row>
    <row r="474" spans="1:11" ht="15" customHeight="1" x14ac:dyDescent="0.2">
      <c r="A474" s="9" t="s">
        <v>381</v>
      </c>
      <c r="B474" s="9" t="s">
        <v>1570</v>
      </c>
      <c r="C474" s="9" t="s">
        <v>242</v>
      </c>
      <c r="D474" s="9" t="s">
        <v>253</v>
      </c>
      <c r="E474" s="9" t="s">
        <v>261</v>
      </c>
      <c r="F474" s="9" t="s">
        <v>287</v>
      </c>
      <c r="G474" s="10">
        <v>0.6</v>
      </c>
      <c r="H474" s="15">
        <v>67</v>
      </c>
      <c r="I474" s="15">
        <v>51</v>
      </c>
      <c r="J474" s="15">
        <v>37</v>
      </c>
      <c r="K474" s="15">
        <v>216.6</v>
      </c>
    </row>
    <row r="475" spans="1:11" ht="15" customHeight="1" x14ac:dyDescent="0.2">
      <c r="A475" s="9" t="s">
        <v>382</v>
      </c>
      <c r="B475" s="9" t="s">
        <v>1570</v>
      </c>
      <c r="C475" s="9" t="s">
        <v>242</v>
      </c>
      <c r="D475" s="9" t="s">
        <v>251</v>
      </c>
      <c r="E475" s="9" t="s">
        <v>261</v>
      </c>
      <c r="F475" s="9" t="s">
        <v>287</v>
      </c>
      <c r="G475" s="10">
        <v>0.4</v>
      </c>
      <c r="H475" s="15">
        <v>57</v>
      </c>
      <c r="I475" s="15">
        <v>56</v>
      </c>
      <c r="J475" s="15">
        <v>21</v>
      </c>
      <c r="K475" s="15">
        <v>86.1</v>
      </c>
    </row>
    <row r="476" spans="1:11" ht="15" customHeight="1" x14ac:dyDescent="0.2">
      <c r="A476" s="9" t="s">
        <v>383</v>
      </c>
      <c r="B476" s="9" t="s">
        <v>1570</v>
      </c>
      <c r="C476" s="9" t="s">
        <v>242</v>
      </c>
      <c r="D476" s="9" t="s">
        <v>251</v>
      </c>
      <c r="E476" s="9" t="s">
        <v>260</v>
      </c>
      <c r="F476" s="9" t="s">
        <v>287</v>
      </c>
      <c r="G476" s="10">
        <v>0.4</v>
      </c>
      <c r="H476" s="15">
        <v>56</v>
      </c>
      <c r="I476" s="15">
        <v>47</v>
      </c>
      <c r="J476" s="15">
        <v>20</v>
      </c>
      <c r="K476" s="15">
        <v>64.099999999999994</v>
      </c>
    </row>
    <row r="477" spans="1:11" ht="15" customHeight="1" x14ac:dyDescent="0.2">
      <c r="A477" s="9" t="s">
        <v>384</v>
      </c>
      <c r="B477" s="9" t="s">
        <v>1570</v>
      </c>
      <c r="C477" s="9" t="s">
        <v>243</v>
      </c>
      <c r="D477" s="9" t="s">
        <v>251</v>
      </c>
      <c r="E477" s="9" t="s">
        <v>261</v>
      </c>
      <c r="F477" s="9" t="s">
        <v>287</v>
      </c>
      <c r="G477" s="10">
        <v>0.4</v>
      </c>
      <c r="H477" s="15">
        <v>69</v>
      </c>
      <c r="I477" s="15">
        <v>43</v>
      </c>
      <c r="J477" s="15">
        <v>25</v>
      </c>
      <c r="K477" s="15">
        <v>61.2</v>
      </c>
    </row>
    <row r="478" spans="1:11" ht="15" customHeight="1" x14ac:dyDescent="0.2">
      <c r="A478" s="9" t="s">
        <v>385</v>
      </c>
      <c r="B478" s="9" t="s">
        <v>1570</v>
      </c>
      <c r="C478" s="9" t="s">
        <v>243</v>
      </c>
      <c r="D478" s="9" t="s">
        <v>251</v>
      </c>
      <c r="E478" s="9" t="s">
        <v>261</v>
      </c>
      <c r="F478" s="9" t="s">
        <v>287</v>
      </c>
      <c r="G478" s="10">
        <v>0.2</v>
      </c>
      <c r="H478" s="15">
        <v>40</v>
      </c>
      <c r="I478" s="15">
        <v>39</v>
      </c>
      <c r="J478" s="15">
        <v>14</v>
      </c>
      <c r="K478" s="15">
        <v>19.5</v>
      </c>
    </row>
    <row r="479" spans="1:11" ht="15" customHeight="1" x14ac:dyDescent="0.2">
      <c r="A479" s="9" t="s">
        <v>386</v>
      </c>
      <c r="B479" s="9" t="s">
        <v>1570</v>
      </c>
      <c r="C479" s="9" t="s">
        <v>243</v>
      </c>
      <c r="D479" s="9" t="s">
        <v>253</v>
      </c>
      <c r="E479" s="9" t="s">
        <v>261</v>
      </c>
      <c r="F479" s="9" t="s">
        <v>287</v>
      </c>
      <c r="G479" s="10">
        <v>0.6</v>
      </c>
      <c r="H479" s="15">
        <v>61</v>
      </c>
      <c r="I479" s="15">
        <v>46</v>
      </c>
      <c r="J479" s="15">
        <v>34</v>
      </c>
      <c r="K479" s="15">
        <v>129.19999999999999</v>
      </c>
    </row>
    <row r="480" spans="1:11" ht="15" customHeight="1" x14ac:dyDescent="0.2">
      <c r="A480" s="9" t="s">
        <v>94</v>
      </c>
      <c r="B480" s="9" t="s">
        <v>1570</v>
      </c>
      <c r="C480" s="9" t="s">
        <v>243</v>
      </c>
      <c r="D480" s="9" t="s">
        <v>251</v>
      </c>
      <c r="E480" s="9" t="s">
        <v>260</v>
      </c>
      <c r="F480" s="9" t="s">
        <v>287</v>
      </c>
      <c r="G480" s="10">
        <v>0.45</v>
      </c>
      <c r="H480" s="15">
        <v>56</v>
      </c>
      <c r="I480" s="15">
        <v>53</v>
      </c>
      <c r="J480" s="15">
        <v>26</v>
      </c>
      <c r="K480" s="15">
        <v>105.7</v>
      </c>
    </row>
    <row r="481" spans="1:11" ht="15" customHeight="1" x14ac:dyDescent="0.2">
      <c r="A481" s="9" t="s">
        <v>387</v>
      </c>
      <c r="B481" s="9" t="s">
        <v>1570</v>
      </c>
      <c r="C481" s="9" t="s">
        <v>243</v>
      </c>
      <c r="D481" s="9" t="s">
        <v>251</v>
      </c>
      <c r="E481" s="9" t="s">
        <v>261</v>
      </c>
      <c r="F481" s="9" t="s">
        <v>287</v>
      </c>
      <c r="G481" s="10">
        <v>0.3</v>
      </c>
      <c r="H481" s="15">
        <v>58</v>
      </c>
      <c r="I481" s="15">
        <v>31</v>
      </c>
      <c r="J481" s="15">
        <v>24</v>
      </c>
      <c r="K481" s="15">
        <v>45.9</v>
      </c>
    </row>
    <row r="482" spans="1:11" ht="15" customHeight="1" x14ac:dyDescent="0.2">
      <c r="A482" s="9" t="s">
        <v>388</v>
      </c>
      <c r="B482" s="9" t="s">
        <v>1570</v>
      </c>
      <c r="C482" s="9" t="s">
        <v>243</v>
      </c>
      <c r="D482" s="9" t="s">
        <v>258</v>
      </c>
      <c r="E482" s="9" t="s">
        <v>262</v>
      </c>
      <c r="F482" s="9" t="s">
        <v>287</v>
      </c>
      <c r="G482" s="10">
        <v>0.55000000000000004</v>
      </c>
      <c r="H482" s="15">
        <v>64</v>
      </c>
      <c r="I482" s="15">
        <v>55</v>
      </c>
      <c r="J482" s="15">
        <v>35</v>
      </c>
      <c r="K482" s="15">
        <v>136.5</v>
      </c>
    </row>
    <row r="483" spans="1:11" ht="15" customHeight="1" x14ac:dyDescent="0.2">
      <c r="A483" s="9" t="s">
        <v>389</v>
      </c>
      <c r="B483" s="9" t="s">
        <v>1570</v>
      </c>
      <c r="C483" s="9" t="s">
        <v>243</v>
      </c>
      <c r="D483" s="9" t="s">
        <v>253</v>
      </c>
      <c r="E483" s="9" t="s">
        <v>261</v>
      </c>
      <c r="F483" s="9" t="s">
        <v>287</v>
      </c>
      <c r="G483" s="10">
        <v>0.4</v>
      </c>
      <c r="H483" s="15">
        <v>75</v>
      </c>
      <c r="I483" s="15">
        <v>58</v>
      </c>
      <c r="J483" s="15">
        <v>28</v>
      </c>
      <c r="K483" s="15">
        <v>149.19999999999999</v>
      </c>
    </row>
    <row r="484" spans="1:11" ht="15" customHeight="1" x14ac:dyDescent="0.2">
      <c r="A484" s="9" t="s">
        <v>390</v>
      </c>
      <c r="B484" s="9" t="s">
        <v>1570</v>
      </c>
      <c r="C484" s="9" t="s">
        <v>243</v>
      </c>
      <c r="D484" s="9" t="s">
        <v>251</v>
      </c>
      <c r="E484" s="9" t="s">
        <v>261</v>
      </c>
      <c r="F484" s="9" t="s">
        <v>287</v>
      </c>
      <c r="G484" s="10">
        <v>0.6</v>
      </c>
      <c r="H484" s="15">
        <v>81</v>
      </c>
      <c r="I484" s="15">
        <v>44</v>
      </c>
      <c r="J484" s="15">
        <v>26</v>
      </c>
      <c r="K484" s="15">
        <v>121.4</v>
      </c>
    </row>
    <row r="485" spans="1:11" ht="15" customHeight="1" x14ac:dyDescent="0.2">
      <c r="A485" s="9" t="s">
        <v>391</v>
      </c>
      <c r="B485" s="9" t="s">
        <v>1570</v>
      </c>
      <c r="C485" s="9" t="s">
        <v>243</v>
      </c>
      <c r="D485" s="9" t="s">
        <v>251</v>
      </c>
      <c r="E485" s="9" t="s">
        <v>261</v>
      </c>
      <c r="F485" s="9" t="s">
        <v>287</v>
      </c>
      <c r="G485" s="10">
        <v>0.35</v>
      </c>
      <c r="H485" s="15">
        <v>72</v>
      </c>
      <c r="I485" s="15">
        <v>43</v>
      </c>
      <c r="J485" s="15">
        <v>28</v>
      </c>
      <c r="K485" s="15">
        <v>95.8</v>
      </c>
    </row>
    <row r="486" spans="1:11" ht="15" customHeight="1" x14ac:dyDescent="0.2">
      <c r="A486" s="9" t="s">
        <v>99</v>
      </c>
      <c r="B486" s="9" t="s">
        <v>1570</v>
      </c>
      <c r="C486" s="9" t="s">
        <v>243</v>
      </c>
      <c r="D486" s="9" t="s">
        <v>251</v>
      </c>
      <c r="E486" s="9" t="s">
        <v>261</v>
      </c>
      <c r="F486" s="9" t="s">
        <v>287</v>
      </c>
      <c r="G486" s="10">
        <v>0.55000000000000004</v>
      </c>
      <c r="H486" s="15">
        <v>68</v>
      </c>
      <c r="I486" s="15">
        <v>57</v>
      </c>
      <c r="J486" s="15">
        <v>49</v>
      </c>
      <c r="K486" s="15">
        <v>181.6</v>
      </c>
    </row>
    <row r="487" spans="1:11" ht="15" customHeight="1" x14ac:dyDescent="0.2">
      <c r="A487" s="9" t="s">
        <v>392</v>
      </c>
      <c r="B487" s="9" t="s">
        <v>1570</v>
      </c>
      <c r="C487" s="9" t="s">
        <v>243</v>
      </c>
      <c r="D487" s="9" t="s">
        <v>251</v>
      </c>
      <c r="E487" s="9" t="s">
        <v>261</v>
      </c>
      <c r="F487" s="9" t="s">
        <v>287</v>
      </c>
      <c r="G487" s="10">
        <v>0.8</v>
      </c>
      <c r="H487" s="15">
        <v>71</v>
      </c>
      <c r="I487" s="15">
        <v>66</v>
      </c>
      <c r="J487" s="15">
        <v>25</v>
      </c>
      <c r="K487" s="15">
        <v>166.6</v>
      </c>
    </row>
    <row r="488" spans="1:11" ht="15" customHeight="1" x14ac:dyDescent="0.2">
      <c r="A488" s="9" t="s">
        <v>393</v>
      </c>
      <c r="B488" s="9" t="s">
        <v>1570</v>
      </c>
      <c r="C488" s="9" t="s">
        <v>243</v>
      </c>
      <c r="D488" s="9" t="s">
        <v>251</v>
      </c>
      <c r="E488" s="9" t="s">
        <v>261</v>
      </c>
      <c r="F488" s="9" t="s">
        <v>287</v>
      </c>
      <c r="G488" s="10">
        <v>0.5</v>
      </c>
      <c r="H488" s="15">
        <v>66</v>
      </c>
      <c r="I488" s="15">
        <v>57</v>
      </c>
      <c r="J488" s="15">
        <v>33</v>
      </c>
      <c r="K488" s="15">
        <v>172.6</v>
      </c>
    </row>
    <row r="489" spans="1:11" ht="15" customHeight="1" x14ac:dyDescent="0.2">
      <c r="A489" s="9" t="s">
        <v>394</v>
      </c>
      <c r="B489" s="9" t="s">
        <v>1570</v>
      </c>
      <c r="C489" s="9" t="s">
        <v>243</v>
      </c>
      <c r="D489" s="9" t="s">
        <v>251</v>
      </c>
      <c r="E489" s="9" t="s">
        <v>260</v>
      </c>
      <c r="F489" s="9" t="s">
        <v>287</v>
      </c>
      <c r="G489" s="10">
        <v>0.6</v>
      </c>
      <c r="H489" s="15">
        <v>50</v>
      </c>
      <c r="I489" s="15">
        <v>37</v>
      </c>
      <c r="J489" s="15">
        <v>19</v>
      </c>
      <c r="K489" s="15">
        <v>37</v>
      </c>
    </row>
    <row r="490" spans="1:11" ht="15" customHeight="1" x14ac:dyDescent="0.2">
      <c r="A490" s="9" t="s">
        <v>395</v>
      </c>
      <c r="B490" s="9" t="s">
        <v>1570</v>
      </c>
      <c r="C490" s="9" t="s">
        <v>243</v>
      </c>
      <c r="D490" s="9" t="s">
        <v>251</v>
      </c>
      <c r="E490" s="9" t="s">
        <v>261</v>
      </c>
      <c r="F490" s="9" t="s">
        <v>287</v>
      </c>
      <c r="G490" s="10">
        <v>0.6</v>
      </c>
      <c r="H490" s="15">
        <v>88</v>
      </c>
      <c r="I490" s="15">
        <v>49</v>
      </c>
      <c r="J490" s="15">
        <v>28</v>
      </c>
      <c r="K490" s="15">
        <v>153.69999999999999</v>
      </c>
    </row>
    <row r="491" spans="1:11" ht="15" customHeight="1" x14ac:dyDescent="0.2">
      <c r="A491" s="9" t="s">
        <v>396</v>
      </c>
      <c r="B491" s="9" t="s">
        <v>1570</v>
      </c>
      <c r="C491" s="9" t="s">
        <v>243</v>
      </c>
      <c r="D491" s="9" t="s">
        <v>251</v>
      </c>
      <c r="E491" s="9" t="s">
        <v>260</v>
      </c>
      <c r="F491" s="9" t="s">
        <v>287</v>
      </c>
      <c r="G491" s="10">
        <v>0.4</v>
      </c>
      <c r="H491" s="15">
        <v>46</v>
      </c>
      <c r="I491" s="15">
        <v>42</v>
      </c>
      <c r="J491" s="15">
        <v>34</v>
      </c>
      <c r="K491" s="15">
        <v>89.9</v>
      </c>
    </row>
    <row r="492" spans="1:11" ht="15" customHeight="1" x14ac:dyDescent="0.2">
      <c r="A492" s="9" t="s">
        <v>398</v>
      </c>
      <c r="B492" s="9" t="s">
        <v>1570</v>
      </c>
      <c r="C492" s="9" t="s">
        <v>243</v>
      </c>
      <c r="D492" s="9" t="s">
        <v>251</v>
      </c>
      <c r="E492" s="9" t="s">
        <v>261</v>
      </c>
      <c r="F492" s="9" t="s">
        <v>287</v>
      </c>
      <c r="G492" s="10">
        <v>0.5</v>
      </c>
      <c r="H492" s="15">
        <v>47</v>
      </c>
      <c r="I492" s="15">
        <v>40</v>
      </c>
      <c r="J492" s="15">
        <v>18</v>
      </c>
      <c r="K492" s="15">
        <v>50.5</v>
      </c>
    </row>
    <row r="493" spans="1:11" ht="15" customHeight="1" x14ac:dyDescent="0.2">
      <c r="A493" s="9" t="s">
        <v>399</v>
      </c>
      <c r="B493" s="9" t="s">
        <v>1570</v>
      </c>
      <c r="C493" s="9" t="s">
        <v>243</v>
      </c>
      <c r="D493" s="9" t="s">
        <v>251</v>
      </c>
      <c r="E493" s="9" t="s">
        <v>261</v>
      </c>
      <c r="F493" s="9" t="s">
        <v>287</v>
      </c>
      <c r="G493" s="10">
        <v>0.3</v>
      </c>
      <c r="H493" s="15">
        <v>57</v>
      </c>
      <c r="I493" s="15">
        <v>46</v>
      </c>
      <c r="J493" s="15">
        <v>35</v>
      </c>
      <c r="K493" s="15">
        <v>92.8</v>
      </c>
    </row>
    <row r="494" spans="1:11" ht="15" customHeight="1" x14ac:dyDescent="0.2">
      <c r="A494" s="9" t="s">
        <v>400</v>
      </c>
      <c r="B494" s="9" t="s">
        <v>1570</v>
      </c>
      <c r="C494" s="9" t="s">
        <v>243</v>
      </c>
      <c r="D494" s="9" t="s">
        <v>258</v>
      </c>
      <c r="E494" s="9" t="s">
        <v>261</v>
      </c>
      <c r="F494" s="9" t="s">
        <v>287</v>
      </c>
      <c r="G494" s="10">
        <v>0.6</v>
      </c>
      <c r="H494" s="15">
        <v>98</v>
      </c>
      <c r="I494" s="15">
        <v>68</v>
      </c>
      <c r="J494" s="15">
        <v>51</v>
      </c>
      <c r="K494" s="15">
        <v>326.3</v>
      </c>
    </row>
    <row r="495" spans="1:11" ht="15" customHeight="1" x14ac:dyDescent="0.2">
      <c r="A495" s="9" t="s">
        <v>401</v>
      </c>
      <c r="B495" s="9" t="s">
        <v>1570</v>
      </c>
      <c r="C495" s="9" t="s">
        <v>243</v>
      </c>
      <c r="D495" s="9" t="s">
        <v>251</v>
      </c>
      <c r="E495" s="9" t="s">
        <v>262</v>
      </c>
      <c r="F495" s="9" t="s">
        <v>287</v>
      </c>
      <c r="G495" s="10">
        <v>0.65</v>
      </c>
      <c r="H495" s="15">
        <v>73</v>
      </c>
      <c r="I495" s="15">
        <v>51</v>
      </c>
      <c r="J495" s="15">
        <v>43</v>
      </c>
      <c r="K495" s="15">
        <v>191.4</v>
      </c>
    </row>
    <row r="496" spans="1:11" ht="15" customHeight="1" x14ac:dyDescent="0.2">
      <c r="A496" s="9" t="s">
        <v>402</v>
      </c>
      <c r="B496" s="9" t="s">
        <v>1570</v>
      </c>
      <c r="C496" s="9" t="s">
        <v>243</v>
      </c>
      <c r="D496" s="9" t="s">
        <v>251</v>
      </c>
      <c r="E496" s="9" t="s">
        <v>260</v>
      </c>
      <c r="F496" s="9" t="s">
        <v>287</v>
      </c>
      <c r="G496" s="10">
        <v>0.3</v>
      </c>
      <c r="H496" s="15">
        <v>54</v>
      </c>
      <c r="I496" s="15">
        <v>36</v>
      </c>
      <c r="J496" s="15">
        <v>20</v>
      </c>
      <c r="K496" s="15">
        <v>29.7</v>
      </c>
    </row>
    <row r="497" spans="1:11" ht="15" customHeight="1" x14ac:dyDescent="0.2">
      <c r="A497" s="9" t="s">
        <v>403</v>
      </c>
      <c r="B497" s="9" t="s">
        <v>1570</v>
      </c>
      <c r="C497" s="9" t="s">
        <v>243</v>
      </c>
      <c r="D497" s="9" t="s">
        <v>251</v>
      </c>
      <c r="E497" s="9" t="s">
        <v>262</v>
      </c>
      <c r="F497" s="9" t="s">
        <v>287</v>
      </c>
      <c r="G497" s="10">
        <v>0.6</v>
      </c>
      <c r="H497" s="15">
        <v>49</v>
      </c>
      <c r="I497" s="15">
        <v>44</v>
      </c>
      <c r="J497" s="15">
        <v>34</v>
      </c>
      <c r="K497" s="15">
        <v>81.400000000000006</v>
      </c>
    </row>
    <row r="498" spans="1:11" ht="15" customHeight="1" x14ac:dyDescent="0.2">
      <c r="A498" s="9" t="s">
        <v>404</v>
      </c>
      <c r="B498" s="9" t="s">
        <v>1570</v>
      </c>
      <c r="C498" s="9" t="s">
        <v>243</v>
      </c>
      <c r="D498" s="9" t="s">
        <v>251</v>
      </c>
      <c r="E498" s="9" t="s">
        <v>262</v>
      </c>
      <c r="F498" s="9" t="s">
        <v>287</v>
      </c>
      <c r="G498" s="10">
        <v>0.4</v>
      </c>
      <c r="H498" s="15">
        <v>73</v>
      </c>
      <c r="I498" s="15">
        <v>56</v>
      </c>
      <c r="J498" s="15">
        <v>24</v>
      </c>
      <c r="K498" s="15">
        <v>109.4</v>
      </c>
    </row>
    <row r="499" spans="1:11" ht="15" customHeight="1" x14ac:dyDescent="0.2">
      <c r="A499" s="9" t="s">
        <v>405</v>
      </c>
      <c r="B499" s="9" t="s">
        <v>1570</v>
      </c>
      <c r="C499" s="9" t="s">
        <v>243</v>
      </c>
      <c r="D499" s="9" t="s">
        <v>253</v>
      </c>
      <c r="E499" s="9" t="s">
        <v>261</v>
      </c>
      <c r="F499" s="9" t="s">
        <v>287</v>
      </c>
      <c r="G499" s="10">
        <v>0.2</v>
      </c>
      <c r="H499" s="15">
        <v>76</v>
      </c>
      <c r="I499" s="15">
        <v>49</v>
      </c>
      <c r="J499" s="15">
        <v>34</v>
      </c>
      <c r="K499" s="15">
        <v>127.9</v>
      </c>
    </row>
    <row r="500" spans="1:11" ht="15" customHeight="1" x14ac:dyDescent="0.2">
      <c r="A500" s="9" t="s">
        <v>406</v>
      </c>
      <c r="B500" s="9" t="s">
        <v>1570</v>
      </c>
      <c r="C500" s="9" t="s">
        <v>243</v>
      </c>
      <c r="D500" s="9" t="s">
        <v>251</v>
      </c>
      <c r="E500" s="9" t="s">
        <v>260</v>
      </c>
      <c r="F500" s="9" t="s">
        <v>287</v>
      </c>
      <c r="G500" s="10">
        <v>0.4</v>
      </c>
      <c r="H500" s="15">
        <v>85</v>
      </c>
      <c r="I500" s="15">
        <v>60</v>
      </c>
      <c r="J500" s="15">
        <v>40</v>
      </c>
      <c r="K500" s="15">
        <v>235.4</v>
      </c>
    </row>
    <row r="501" spans="1:11" ht="15" customHeight="1" x14ac:dyDescent="0.2">
      <c r="A501" s="9" t="s">
        <v>407</v>
      </c>
      <c r="B501" s="9" t="s">
        <v>1570</v>
      </c>
      <c r="C501" s="9" t="s">
        <v>243</v>
      </c>
      <c r="D501" s="9" t="s">
        <v>251</v>
      </c>
      <c r="E501" s="9" t="s">
        <v>261</v>
      </c>
      <c r="F501" s="9" t="s">
        <v>287</v>
      </c>
      <c r="G501" s="10">
        <v>0.4</v>
      </c>
      <c r="H501" s="15">
        <v>65</v>
      </c>
      <c r="I501" s="15">
        <v>47</v>
      </c>
      <c r="J501" s="15">
        <v>27</v>
      </c>
      <c r="K501" s="15">
        <v>86</v>
      </c>
    </row>
    <row r="502" spans="1:11" ht="15" customHeight="1" x14ac:dyDescent="0.2">
      <c r="A502" s="9" t="s">
        <v>408</v>
      </c>
      <c r="B502" s="9" t="s">
        <v>1570</v>
      </c>
      <c r="C502" s="9" t="s">
        <v>243</v>
      </c>
      <c r="D502" s="9" t="s">
        <v>251</v>
      </c>
      <c r="E502" s="9" t="s">
        <v>261</v>
      </c>
      <c r="F502" s="9" t="s">
        <v>287</v>
      </c>
      <c r="G502" s="10">
        <v>0.4</v>
      </c>
      <c r="H502" s="15">
        <v>72</v>
      </c>
      <c r="I502" s="15">
        <v>30</v>
      </c>
      <c r="J502" s="15">
        <v>38</v>
      </c>
      <c r="K502" s="15">
        <v>92.9</v>
      </c>
    </row>
    <row r="503" spans="1:11" ht="15" customHeight="1" x14ac:dyDescent="0.2">
      <c r="A503" s="9" t="s">
        <v>409</v>
      </c>
      <c r="B503" s="9" t="s">
        <v>1570</v>
      </c>
      <c r="C503" s="9" t="s">
        <v>243</v>
      </c>
      <c r="D503" s="9" t="s">
        <v>258</v>
      </c>
      <c r="E503" s="9" t="s">
        <v>262</v>
      </c>
      <c r="F503" s="9" t="s">
        <v>287</v>
      </c>
      <c r="G503" s="10">
        <v>0.4</v>
      </c>
      <c r="H503" s="15">
        <v>82</v>
      </c>
      <c r="I503" s="15">
        <v>73</v>
      </c>
      <c r="J503" s="15">
        <v>41</v>
      </c>
      <c r="K503" s="15">
        <v>290.8</v>
      </c>
    </row>
    <row r="504" spans="1:11" ht="15" customHeight="1" x14ac:dyDescent="0.2">
      <c r="A504" s="9" t="s">
        <v>410</v>
      </c>
      <c r="B504" s="9" t="s">
        <v>1570</v>
      </c>
      <c r="C504" s="9" t="s">
        <v>243</v>
      </c>
      <c r="D504" s="9" t="s">
        <v>251</v>
      </c>
      <c r="E504" s="9" t="s">
        <v>261</v>
      </c>
      <c r="F504" s="9" t="s">
        <v>287</v>
      </c>
      <c r="G504" s="10">
        <v>0.6</v>
      </c>
      <c r="H504" s="15">
        <v>61</v>
      </c>
      <c r="I504" s="15">
        <v>50</v>
      </c>
      <c r="J504" s="15">
        <v>44</v>
      </c>
      <c r="K504" s="15">
        <v>174.6</v>
      </c>
    </row>
    <row r="505" spans="1:11" ht="15" customHeight="1" x14ac:dyDescent="0.2">
      <c r="A505" s="9" t="s">
        <v>411</v>
      </c>
      <c r="B505" s="9" t="s">
        <v>1570</v>
      </c>
      <c r="C505" s="9" t="s">
        <v>243</v>
      </c>
      <c r="D505" s="9" t="s">
        <v>251</v>
      </c>
      <c r="E505" s="9" t="s">
        <v>262</v>
      </c>
      <c r="F505" s="9" t="s">
        <v>287</v>
      </c>
      <c r="G505" s="10">
        <v>0.6</v>
      </c>
      <c r="H505" s="15">
        <v>84</v>
      </c>
      <c r="I505" s="15">
        <v>68</v>
      </c>
      <c r="J505" s="15">
        <v>47</v>
      </c>
      <c r="K505" s="15">
        <v>299</v>
      </c>
    </row>
    <row r="506" spans="1:11" ht="15" customHeight="1" x14ac:dyDescent="0.2">
      <c r="A506" s="9" t="s">
        <v>412</v>
      </c>
      <c r="B506" s="9" t="s">
        <v>1570</v>
      </c>
      <c r="C506" s="9" t="s">
        <v>243</v>
      </c>
      <c r="D506" s="9" t="s">
        <v>251</v>
      </c>
      <c r="E506" s="9" t="s">
        <v>260</v>
      </c>
      <c r="F506" s="9" t="s">
        <v>287</v>
      </c>
      <c r="G506" s="10">
        <v>0.4</v>
      </c>
      <c r="H506" s="15">
        <v>67</v>
      </c>
      <c r="I506" s="15">
        <v>37</v>
      </c>
      <c r="J506" s="15">
        <v>33</v>
      </c>
      <c r="K506" s="15">
        <v>78.8</v>
      </c>
    </row>
    <row r="507" spans="1:11" ht="15" customHeight="1" x14ac:dyDescent="0.2">
      <c r="A507" s="9" t="s">
        <v>413</v>
      </c>
      <c r="B507" s="9" t="s">
        <v>1570</v>
      </c>
      <c r="C507" s="9" t="s">
        <v>243</v>
      </c>
      <c r="D507" s="9" t="s">
        <v>251</v>
      </c>
      <c r="E507" s="9" t="s">
        <v>261</v>
      </c>
      <c r="F507" s="9" t="s">
        <v>287</v>
      </c>
      <c r="G507" s="10">
        <v>0.4</v>
      </c>
      <c r="H507" s="15">
        <v>55</v>
      </c>
      <c r="I507" s="15">
        <v>43</v>
      </c>
      <c r="J507" s="15">
        <v>22</v>
      </c>
      <c r="K507" s="15">
        <v>44.4</v>
      </c>
    </row>
    <row r="508" spans="1:11" ht="15" customHeight="1" x14ac:dyDescent="0.2">
      <c r="A508" s="9" t="s">
        <v>414</v>
      </c>
      <c r="B508" s="9" t="s">
        <v>1570</v>
      </c>
      <c r="C508" s="9" t="s">
        <v>243</v>
      </c>
      <c r="D508" s="9" t="s">
        <v>251</v>
      </c>
      <c r="E508" s="9" t="s">
        <v>261</v>
      </c>
      <c r="F508" s="9" t="s">
        <v>287</v>
      </c>
      <c r="G508" s="10">
        <v>0.7</v>
      </c>
      <c r="H508" s="15">
        <v>62</v>
      </c>
      <c r="I508" s="15">
        <v>53</v>
      </c>
      <c r="J508" s="15">
        <v>24</v>
      </c>
      <c r="K508" s="15">
        <v>105.7</v>
      </c>
    </row>
    <row r="509" spans="1:11" ht="15" customHeight="1" x14ac:dyDescent="0.2">
      <c r="A509" s="9" t="s">
        <v>415</v>
      </c>
      <c r="B509" s="9" t="s">
        <v>1570</v>
      </c>
      <c r="C509" s="9" t="s">
        <v>243</v>
      </c>
      <c r="D509" s="9" t="s">
        <v>251</v>
      </c>
      <c r="E509" s="9" t="s">
        <v>260</v>
      </c>
      <c r="F509" s="9" t="s">
        <v>287</v>
      </c>
      <c r="G509" s="10">
        <v>0.3</v>
      </c>
      <c r="H509" s="15">
        <v>69</v>
      </c>
      <c r="I509" s="15">
        <v>69</v>
      </c>
      <c r="J509" s="15">
        <v>26</v>
      </c>
      <c r="K509" s="15">
        <v>147.6</v>
      </c>
    </row>
    <row r="510" spans="1:11" ht="15" customHeight="1" x14ac:dyDescent="0.2">
      <c r="A510" s="9" t="s">
        <v>416</v>
      </c>
      <c r="B510" s="9" t="s">
        <v>1570</v>
      </c>
      <c r="C510" s="9" t="s">
        <v>243</v>
      </c>
      <c r="D510" s="9" t="s">
        <v>251</v>
      </c>
      <c r="E510" s="9" t="s">
        <v>261</v>
      </c>
      <c r="F510" s="9" t="s">
        <v>287</v>
      </c>
      <c r="G510" s="10">
        <v>0.15</v>
      </c>
      <c r="H510" s="15">
        <v>39</v>
      </c>
      <c r="I510" s="15">
        <v>34</v>
      </c>
      <c r="J510" s="15">
        <v>20</v>
      </c>
      <c r="K510" s="15">
        <v>21.7</v>
      </c>
    </row>
    <row r="511" spans="1:11" ht="15" customHeight="1" x14ac:dyDescent="0.2">
      <c r="A511" s="9" t="s">
        <v>417</v>
      </c>
      <c r="B511" s="9" t="s">
        <v>1570</v>
      </c>
      <c r="C511" s="9" t="s">
        <v>243</v>
      </c>
      <c r="D511" s="9" t="s">
        <v>251</v>
      </c>
      <c r="E511" s="9" t="s">
        <v>261</v>
      </c>
      <c r="F511" s="9" t="s">
        <v>287</v>
      </c>
      <c r="G511" s="10">
        <v>0.5</v>
      </c>
      <c r="H511" s="15">
        <v>70</v>
      </c>
      <c r="I511" s="15">
        <v>51</v>
      </c>
      <c r="J511" s="15">
        <v>25</v>
      </c>
      <c r="K511" s="15">
        <v>116.9</v>
      </c>
    </row>
    <row r="512" spans="1:11" ht="15" customHeight="1" x14ac:dyDescent="0.2">
      <c r="A512" s="9" t="s">
        <v>418</v>
      </c>
      <c r="B512" s="9" t="s">
        <v>1570</v>
      </c>
      <c r="C512" s="9" t="s">
        <v>243</v>
      </c>
      <c r="D512" s="9" t="s">
        <v>251</v>
      </c>
      <c r="E512" s="9" t="s">
        <v>260</v>
      </c>
      <c r="F512" s="9" t="s">
        <v>287</v>
      </c>
      <c r="G512" s="10">
        <v>0.8</v>
      </c>
      <c r="H512" s="15">
        <v>69</v>
      </c>
      <c r="I512" s="15">
        <v>43</v>
      </c>
      <c r="J512" s="15">
        <v>38</v>
      </c>
      <c r="K512" s="15">
        <v>193.8</v>
      </c>
    </row>
    <row r="513" spans="1:11" ht="15" customHeight="1" x14ac:dyDescent="0.2">
      <c r="A513" s="9" t="s">
        <v>419</v>
      </c>
      <c r="B513" s="9" t="s">
        <v>1570</v>
      </c>
      <c r="C513" s="9" t="s">
        <v>243</v>
      </c>
      <c r="D513" s="9" t="s">
        <v>253</v>
      </c>
      <c r="E513" s="9" t="s">
        <v>261</v>
      </c>
      <c r="F513" s="9" t="s">
        <v>287</v>
      </c>
      <c r="G513" s="10">
        <v>0.6</v>
      </c>
      <c r="H513" s="15">
        <v>60</v>
      </c>
      <c r="I513" s="15">
        <v>55</v>
      </c>
      <c r="J513" s="15">
        <v>38</v>
      </c>
      <c r="K513" s="15">
        <v>132.5</v>
      </c>
    </row>
    <row r="514" spans="1:11" ht="15" customHeight="1" x14ac:dyDescent="0.2">
      <c r="A514" s="9" t="s">
        <v>420</v>
      </c>
      <c r="B514" s="9" t="s">
        <v>1570</v>
      </c>
      <c r="C514" s="9" t="s">
        <v>243</v>
      </c>
      <c r="D514" s="9" t="s">
        <v>258</v>
      </c>
      <c r="E514" s="9" t="s">
        <v>261</v>
      </c>
      <c r="F514" s="9" t="s">
        <v>287</v>
      </c>
      <c r="G514" s="10">
        <v>0.6</v>
      </c>
      <c r="H514" s="15">
        <v>63</v>
      </c>
      <c r="I514" s="15">
        <v>52</v>
      </c>
      <c r="J514" s="15">
        <v>26</v>
      </c>
      <c r="K514" s="15">
        <v>76.8</v>
      </c>
    </row>
    <row r="515" spans="1:11" ht="15" customHeight="1" x14ac:dyDescent="0.2">
      <c r="A515" s="9" t="s">
        <v>614</v>
      </c>
      <c r="B515" s="9" t="s">
        <v>1570</v>
      </c>
      <c r="C515" s="9" t="s">
        <v>242</v>
      </c>
      <c r="D515" s="9" t="s">
        <v>251</v>
      </c>
      <c r="E515" s="9" t="s">
        <v>261</v>
      </c>
      <c r="F515" s="9" t="s">
        <v>287</v>
      </c>
      <c r="G515" s="10">
        <v>0.6</v>
      </c>
      <c r="H515" s="15">
        <v>52</v>
      </c>
      <c r="I515" s="15">
        <v>35</v>
      </c>
      <c r="J515" s="15">
        <v>15</v>
      </c>
      <c r="K515" s="15">
        <v>31.6</v>
      </c>
    </row>
    <row r="516" spans="1:11" ht="15" customHeight="1" x14ac:dyDescent="0.2">
      <c r="A516" s="9" t="s">
        <v>615</v>
      </c>
      <c r="B516" s="9" t="s">
        <v>1570</v>
      </c>
      <c r="C516" s="9" t="s">
        <v>242</v>
      </c>
      <c r="D516" s="9" t="s">
        <v>251</v>
      </c>
      <c r="E516" s="9" t="s">
        <v>262</v>
      </c>
      <c r="F516" s="9" t="s">
        <v>287</v>
      </c>
      <c r="G516" s="10">
        <v>0.6</v>
      </c>
      <c r="H516" s="15">
        <v>102</v>
      </c>
      <c r="I516" s="15">
        <v>91</v>
      </c>
      <c r="J516" s="15">
        <v>82</v>
      </c>
      <c r="K516" s="15">
        <v>1006.7</v>
      </c>
    </row>
    <row r="517" spans="1:11" ht="15" customHeight="1" x14ac:dyDescent="0.2">
      <c r="A517" s="9" t="s">
        <v>616</v>
      </c>
      <c r="B517" s="9" t="s">
        <v>1570</v>
      </c>
      <c r="C517" s="9" t="s">
        <v>242</v>
      </c>
      <c r="D517" s="9" t="s">
        <v>751</v>
      </c>
      <c r="E517" s="9" t="s">
        <v>261</v>
      </c>
      <c r="F517" s="9" t="s">
        <v>287</v>
      </c>
      <c r="G517" s="10">
        <v>0.5</v>
      </c>
      <c r="H517" s="15">
        <v>57</v>
      </c>
      <c r="I517" s="15">
        <v>40</v>
      </c>
      <c r="J517" s="15">
        <v>37</v>
      </c>
      <c r="K517" s="15">
        <v>98.2</v>
      </c>
    </row>
    <row r="518" spans="1:11" ht="15" customHeight="1" x14ac:dyDescent="0.2">
      <c r="A518" s="9" t="s">
        <v>617</v>
      </c>
      <c r="B518" s="9" t="s">
        <v>1570</v>
      </c>
      <c r="C518" s="9" t="s">
        <v>242</v>
      </c>
      <c r="D518" s="9" t="s">
        <v>253</v>
      </c>
      <c r="E518" s="9" t="s">
        <v>260</v>
      </c>
      <c r="F518" s="9" t="s">
        <v>287</v>
      </c>
      <c r="G518" s="10">
        <v>0.6</v>
      </c>
      <c r="H518" s="15">
        <v>64</v>
      </c>
      <c r="I518" s="15">
        <v>50</v>
      </c>
      <c r="J518" s="15">
        <v>37</v>
      </c>
      <c r="K518" s="15">
        <v>133.30000000000001</v>
      </c>
    </row>
    <row r="519" spans="1:11" ht="15" customHeight="1" x14ac:dyDescent="0.2">
      <c r="A519" s="9" t="s">
        <v>619</v>
      </c>
      <c r="B519" s="9" t="s">
        <v>1570</v>
      </c>
      <c r="C519" s="9" t="s">
        <v>242</v>
      </c>
      <c r="D519" s="9" t="s">
        <v>251</v>
      </c>
      <c r="E519" s="9" t="s">
        <v>260</v>
      </c>
      <c r="F519" s="9" t="s">
        <v>287</v>
      </c>
      <c r="G519" s="10">
        <v>0.6</v>
      </c>
      <c r="H519" s="15">
        <v>59</v>
      </c>
      <c r="I519" s="15">
        <v>49</v>
      </c>
      <c r="J519" s="15">
        <v>23</v>
      </c>
      <c r="K519" s="15">
        <v>73.2</v>
      </c>
    </row>
    <row r="520" spans="1:11" ht="15" customHeight="1" x14ac:dyDescent="0.2">
      <c r="A520" s="9" t="s">
        <v>620</v>
      </c>
      <c r="B520" s="9" t="s">
        <v>1570</v>
      </c>
      <c r="C520" s="9" t="s">
        <v>243</v>
      </c>
      <c r="D520" s="9" t="s">
        <v>258</v>
      </c>
      <c r="E520" s="9" t="s">
        <v>261</v>
      </c>
      <c r="F520" s="9" t="s">
        <v>287</v>
      </c>
      <c r="G520" s="10">
        <v>0.6</v>
      </c>
      <c r="H520" s="15">
        <v>88</v>
      </c>
      <c r="I520" s="15">
        <v>82</v>
      </c>
      <c r="J520" s="15">
        <v>41</v>
      </c>
      <c r="K520" s="15">
        <v>284.10000000000002</v>
      </c>
    </row>
    <row r="521" spans="1:11" ht="15" customHeight="1" x14ac:dyDescent="0.2">
      <c r="A521" s="9" t="s">
        <v>621</v>
      </c>
      <c r="B521" s="9" t="s">
        <v>1570</v>
      </c>
      <c r="C521" s="9" t="s">
        <v>243</v>
      </c>
      <c r="D521" s="9" t="s">
        <v>251</v>
      </c>
      <c r="E521" s="9" t="s">
        <v>261</v>
      </c>
      <c r="F521" s="9" t="s">
        <v>287</v>
      </c>
      <c r="G521" s="10">
        <v>0.6</v>
      </c>
      <c r="H521" s="15">
        <v>55</v>
      </c>
      <c r="I521" s="15">
        <v>42</v>
      </c>
      <c r="J521" s="15">
        <v>28</v>
      </c>
      <c r="K521" s="15">
        <v>79</v>
      </c>
    </row>
    <row r="522" spans="1:11" ht="15" customHeight="1" x14ac:dyDescent="0.2">
      <c r="A522" s="9" t="s">
        <v>622</v>
      </c>
      <c r="B522" s="9" t="s">
        <v>1570</v>
      </c>
      <c r="C522" s="9" t="s">
        <v>243</v>
      </c>
      <c r="D522" s="9" t="s">
        <v>251</v>
      </c>
      <c r="E522" s="9" t="s">
        <v>262</v>
      </c>
      <c r="F522" s="9" t="s">
        <v>287</v>
      </c>
      <c r="G522" s="10">
        <v>0.6</v>
      </c>
      <c r="H522" s="15">
        <v>67</v>
      </c>
      <c r="I522" s="15">
        <v>61</v>
      </c>
      <c r="J522" s="15">
        <v>42</v>
      </c>
      <c r="K522" s="15">
        <v>265.7</v>
      </c>
    </row>
    <row r="523" spans="1:11" ht="15" customHeight="1" x14ac:dyDescent="0.2">
      <c r="A523" s="9" t="s">
        <v>623</v>
      </c>
      <c r="B523" s="9" t="s">
        <v>1570</v>
      </c>
      <c r="C523" s="9" t="s">
        <v>243</v>
      </c>
      <c r="D523" s="9" t="s">
        <v>251</v>
      </c>
      <c r="E523" s="9" t="s">
        <v>261</v>
      </c>
      <c r="F523" s="9" t="s">
        <v>287</v>
      </c>
      <c r="G523" s="10">
        <v>0.6</v>
      </c>
      <c r="H523" s="15">
        <v>65</v>
      </c>
      <c r="I523" s="15">
        <v>45</v>
      </c>
      <c r="J523" s="15">
        <v>31</v>
      </c>
      <c r="K523" s="15">
        <v>164.3</v>
      </c>
    </row>
    <row r="524" spans="1:11" ht="15" customHeight="1" x14ac:dyDescent="0.2">
      <c r="A524" s="9" t="s">
        <v>624</v>
      </c>
      <c r="B524" s="9" t="s">
        <v>1570</v>
      </c>
      <c r="C524" s="9" t="s">
        <v>243</v>
      </c>
      <c r="D524" s="9" t="s">
        <v>251</v>
      </c>
      <c r="E524" s="9" t="s">
        <v>261</v>
      </c>
      <c r="F524" s="9" t="s">
        <v>287</v>
      </c>
      <c r="G524" s="10">
        <v>0.4</v>
      </c>
      <c r="H524" s="15">
        <v>81</v>
      </c>
      <c r="I524" s="15">
        <v>47</v>
      </c>
      <c r="J524" s="15">
        <v>34</v>
      </c>
      <c r="K524" s="15">
        <v>144.1</v>
      </c>
    </row>
    <row r="525" spans="1:11" ht="15" customHeight="1" x14ac:dyDescent="0.2">
      <c r="A525" s="9" t="s">
        <v>625</v>
      </c>
      <c r="B525" s="9" t="s">
        <v>1570</v>
      </c>
      <c r="C525" s="9" t="s">
        <v>243</v>
      </c>
      <c r="D525" s="9" t="s">
        <v>251</v>
      </c>
      <c r="E525" s="9" t="s">
        <v>262</v>
      </c>
      <c r="F525" s="9" t="s">
        <v>287</v>
      </c>
      <c r="G525" s="10">
        <v>0.4</v>
      </c>
      <c r="H525" s="15">
        <v>67</v>
      </c>
      <c r="I525" s="15">
        <v>44</v>
      </c>
      <c r="J525" s="15">
        <v>25</v>
      </c>
      <c r="K525" s="15">
        <v>91.8</v>
      </c>
    </row>
    <row r="526" spans="1:11" ht="15" customHeight="1" x14ac:dyDescent="0.2">
      <c r="A526" s="9" t="s">
        <v>626</v>
      </c>
      <c r="B526" s="9" t="s">
        <v>1570</v>
      </c>
      <c r="C526" s="9" t="s">
        <v>243</v>
      </c>
      <c r="D526" s="9" t="s">
        <v>258</v>
      </c>
      <c r="E526" s="9" t="s">
        <v>262</v>
      </c>
      <c r="F526" s="9" t="s">
        <v>287</v>
      </c>
      <c r="G526" s="10">
        <v>0.4</v>
      </c>
      <c r="H526" s="15">
        <v>78</v>
      </c>
      <c r="I526" s="15">
        <v>67</v>
      </c>
      <c r="J526" s="15">
        <v>30</v>
      </c>
      <c r="K526" s="15">
        <v>200</v>
      </c>
    </row>
    <row r="527" spans="1:11" ht="15" customHeight="1" x14ac:dyDescent="0.2">
      <c r="A527" s="9" t="s">
        <v>627</v>
      </c>
      <c r="B527" s="9" t="s">
        <v>1570</v>
      </c>
      <c r="C527" s="9" t="s">
        <v>243</v>
      </c>
      <c r="D527" s="9" t="s">
        <v>252</v>
      </c>
      <c r="E527" s="9" t="s">
        <v>261</v>
      </c>
      <c r="F527" s="9" t="s">
        <v>287</v>
      </c>
      <c r="G527" s="10">
        <v>0.4</v>
      </c>
      <c r="H527" s="15">
        <v>55</v>
      </c>
      <c r="I527" s="15">
        <v>50</v>
      </c>
      <c r="J527" s="15">
        <v>34</v>
      </c>
      <c r="K527" s="15">
        <v>107.7</v>
      </c>
    </row>
    <row r="528" spans="1:11" ht="15" customHeight="1" x14ac:dyDescent="0.2">
      <c r="A528" s="9" t="s">
        <v>628</v>
      </c>
      <c r="B528" s="9" t="s">
        <v>1570</v>
      </c>
      <c r="C528" s="9" t="s">
        <v>243</v>
      </c>
      <c r="D528" s="9" t="s">
        <v>251</v>
      </c>
      <c r="E528" s="9" t="s">
        <v>261</v>
      </c>
      <c r="F528" s="9" t="s">
        <v>287</v>
      </c>
      <c r="G528" s="10">
        <v>0.4</v>
      </c>
      <c r="H528" s="15">
        <v>52</v>
      </c>
      <c r="I528" s="15">
        <v>40</v>
      </c>
      <c r="J528" s="15">
        <v>29</v>
      </c>
      <c r="K528" s="15">
        <v>99.3</v>
      </c>
    </row>
    <row r="529" spans="1:11" ht="15" customHeight="1" x14ac:dyDescent="0.2">
      <c r="A529" s="9" t="s">
        <v>629</v>
      </c>
      <c r="B529" s="9" t="s">
        <v>1570</v>
      </c>
      <c r="C529" s="9" t="s">
        <v>243</v>
      </c>
      <c r="D529" s="9" t="s">
        <v>251</v>
      </c>
      <c r="E529" s="9" t="s">
        <v>261</v>
      </c>
      <c r="F529" s="9" t="s">
        <v>287</v>
      </c>
      <c r="G529" s="10">
        <v>0.25</v>
      </c>
      <c r="H529" s="15">
        <v>50</v>
      </c>
      <c r="I529" s="15">
        <v>41</v>
      </c>
      <c r="J529" s="15">
        <v>23</v>
      </c>
      <c r="K529" s="15">
        <v>49.3</v>
      </c>
    </row>
    <row r="530" spans="1:11" ht="15" customHeight="1" x14ac:dyDescent="0.2">
      <c r="A530" s="9" t="s">
        <v>630</v>
      </c>
      <c r="B530" s="9" t="s">
        <v>1570</v>
      </c>
      <c r="C530" s="9" t="s">
        <v>243</v>
      </c>
      <c r="D530" s="9" t="s">
        <v>251</v>
      </c>
      <c r="E530" s="9" t="s">
        <v>262</v>
      </c>
      <c r="F530" s="9" t="s">
        <v>287</v>
      </c>
      <c r="G530" s="10">
        <v>0.6</v>
      </c>
      <c r="H530" s="15">
        <v>51</v>
      </c>
      <c r="I530" s="15">
        <v>40</v>
      </c>
      <c r="J530" s="15">
        <v>31</v>
      </c>
      <c r="K530" s="15">
        <v>87.6</v>
      </c>
    </row>
    <row r="531" spans="1:11" ht="15" customHeight="1" x14ac:dyDescent="0.2">
      <c r="A531" s="9" t="s">
        <v>631</v>
      </c>
      <c r="B531" s="9" t="s">
        <v>1570</v>
      </c>
      <c r="C531" s="9" t="s">
        <v>243</v>
      </c>
      <c r="D531" s="9" t="s">
        <v>251</v>
      </c>
      <c r="E531" s="9" t="s">
        <v>261</v>
      </c>
      <c r="F531" s="9" t="s">
        <v>287</v>
      </c>
      <c r="G531" s="10">
        <v>0.35</v>
      </c>
      <c r="H531" s="15">
        <v>68</v>
      </c>
      <c r="I531" s="15">
        <v>52</v>
      </c>
      <c r="J531" s="15">
        <v>36</v>
      </c>
      <c r="K531" s="15">
        <v>150.80000000000001</v>
      </c>
    </row>
    <row r="532" spans="1:11" ht="15" customHeight="1" x14ac:dyDescent="0.2">
      <c r="A532" s="9" t="s">
        <v>668</v>
      </c>
      <c r="B532" s="9" t="s">
        <v>1570</v>
      </c>
      <c r="C532" s="9" t="s">
        <v>243</v>
      </c>
      <c r="D532" s="9" t="s">
        <v>251</v>
      </c>
      <c r="E532" s="9" t="s">
        <v>261</v>
      </c>
      <c r="F532" s="9" t="s">
        <v>287</v>
      </c>
      <c r="G532" s="10">
        <v>0.8</v>
      </c>
      <c r="H532" s="15">
        <v>61</v>
      </c>
      <c r="I532" s="15">
        <v>60</v>
      </c>
      <c r="J532" s="15">
        <v>39</v>
      </c>
      <c r="K532" s="15">
        <v>169.7</v>
      </c>
    </row>
    <row r="533" spans="1:11" ht="15" customHeight="1" x14ac:dyDescent="0.2">
      <c r="A533" s="9" t="s">
        <v>669</v>
      </c>
      <c r="B533" s="9" t="s">
        <v>1570</v>
      </c>
      <c r="C533" s="9" t="s">
        <v>243</v>
      </c>
      <c r="D533" s="9" t="s">
        <v>251</v>
      </c>
      <c r="E533" s="9" t="s">
        <v>262</v>
      </c>
      <c r="F533" s="9" t="s">
        <v>287</v>
      </c>
      <c r="G533" s="10">
        <v>0.15</v>
      </c>
      <c r="H533" s="15">
        <v>37</v>
      </c>
      <c r="I533" s="15">
        <v>29</v>
      </c>
      <c r="J533" s="15">
        <v>24</v>
      </c>
      <c r="K533" s="15">
        <v>30.9</v>
      </c>
    </row>
    <row r="534" spans="1:11" ht="15" customHeight="1" x14ac:dyDescent="0.2">
      <c r="A534" s="9" t="s">
        <v>670</v>
      </c>
      <c r="B534" s="9" t="s">
        <v>1570</v>
      </c>
      <c r="C534" s="9" t="s">
        <v>243</v>
      </c>
      <c r="D534" s="9" t="s">
        <v>251</v>
      </c>
      <c r="E534" s="9" t="s">
        <v>261</v>
      </c>
      <c r="F534" s="9" t="s">
        <v>287</v>
      </c>
      <c r="G534" s="10">
        <v>0.25</v>
      </c>
      <c r="H534" s="15">
        <v>56</v>
      </c>
      <c r="I534" s="15">
        <v>33</v>
      </c>
      <c r="J534" s="15">
        <v>25</v>
      </c>
      <c r="K534" s="15">
        <v>40.299999999999997</v>
      </c>
    </row>
    <row r="535" spans="1:11" ht="15" customHeight="1" x14ac:dyDescent="0.2">
      <c r="A535" s="9" t="s">
        <v>671</v>
      </c>
      <c r="B535" s="9" t="s">
        <v>1570</v>
      </c>
      <c r="C535" s="9" t="s">
        <v>243</v>
      </c>
      <c r="D535" s="9" t="s">
        <v>251</v>
      </c>
      <c r="E535" s="9" t="s">
        <v>261</v>
      </c>
      <c r="F535" s="9" t="s">
        <v>287</v>
      </c>
      <c r="G535" s="10">
        <v>0.05</v>
      </c>
      <c r="H535" s="15">
        <v>75</v>
      </c>
      <c r="I535" s="15">
        <v>64</v>
      </c>
      <c r="J535" s="15">
        <v>44</v>
      </c>
      <c r="K535" s="15">
        <v>148</v>
      </c>
    </row>
    <row r="536" spans="1:11" ht="15" customHeight="1" x14ac:dyDescent="0.2">
      <c r="A536" s="9" t="s">
        <v>672</v>
      </c>
      <c r="B536" s="9" t="s">
        <v>1570</v>
      </c>
      <c r="C536" s="9" t="s">
        <v>243</v>
      </c>
      <c r="D536" s="9" t="s">
        <v>251</v>
      </c>
      <c r="E536" s="9" t="s">
        <v>260</v>
      </c>
      <c r="F536" s="9" t="s">
        <v>287</v>
      </c>
      <c r="G536" s="10">
        <v>0.6</v>
      </c>
      <c r="H536" s="15">
        <v>36</v>
      </c>
      <c r="I536" s="15">
        <v>34</v>
      </c>
      <c r="J536" s="15">
        <v>34</v>
      </c>
      <c r="K536" s="15">
        <v>29.8</v>
      </c>
    </row>
    <row r="537" spans="1:11" ht="15" customHeight="1" x14ac:dyDescent="0.2">
      <c r="A537" s="9" t="s">
        <v>673</v>
      </c>
      <c r="B537" s="9" t="s">
        <v>1570</v>
      </c>
      <c r="C537" s="9" t="s">
        <v>243</v>
      </c>
      <c r="D537" s="9" t="s">
        <v>251</v>
      </c>
      <c r="E537" s="9" t="s">
        <v>262</v>
      </c>
      <c r="F537" s="9" t="s">
        <v>287</v>
      </c>
      <c r="G537" s="10">
        <v>0.4</v>
      </c>
      <c r="H537" s="15">
        <v>69</v>
      </c>
      <c r="I537" s="15">
        <v>68</v>
      </c>
      <c r="J537" s="15">
        <v>40</v>
      </c>
      <c r="K537" s="15">
        <v>136.30000000000001</v>
      </c>
    </row>
    <row r="538" spans="1:11" ht="15" customHeight="1" x14ac:dyDescent="0.2">
      <c r="A538" s="9" t="s">
        <v>674</v>
      </c>
      <c r="B538" s="9" t="s">
        <v>1570</v>
      </c>
      <c r="C538" s="9" t="s">
        <v>243</v>
      </c>
      <c r="D538" s="9" t="s">
        <v>1148</v>
      </c>
      <c r="E538" s="9" t="s">
        <v>260</v>
      </c>
      <c r="F538" s="9" t="s">
        <v>287</v>
      </c>
      <c r="G538" s="10">
        <v>0.4</v>
      </c>
      <c r="H538" s="15">
        <v>69</v>
      </c>
      <c r="I538" s="15">
        <v>59</v>
      </c>
      <c r="J538" s="15">
        <v>29</v>
      </c>
      <c r="K538" s="15">
        <v>158.4</v>
      </c>
    </row>
    <row r="539" spans="1:11" ht="15" customHeight="1" x14ac:dyDescent="0.2">
      <c r="A539" s="9" t="s">
        <v>675</v>
      </c>
      <c r="B539" s="9" t="s">
        <v>1570</v>
      </c>
      <c r="C539" s="9" t="s">
        <v>243</v>
      </c>
      <c r="D539" s="9" t="s">
        <v>251</v>
      </c>
      <c r="E539" s="9" t="s">
        <v>260</v>
      </c>
      <c r="F539" s="9" t="s">
        <v>287</v>
      </c>
      <c r="G539" s="10">
        <v>0.4</v>
      </c>
      <c r="H539" s="15">
        <v>44</v>
      </c>
      <c r="I539" s="15">
        <v>33</v>
      </c>
      <c r="J539" s="15">
        <v>17</v>
      </c>
      <c r="K539" s="15">
        <v>22</v>
      </c>
    </row>
    <row r="540" spans="1:11" ht="15" customHeight="1" x14ac:dyDescent="0.2">
      <c r="A540" s="9" t="s">
        <v>676</v>
      </c>
      <c r="B540" s="9" t="s">
        <v>1570</v>
      </c>
      <c r="C540" s="9" t="s">
        <v>243</v>
      </c>
      <c r="D540" s="9" t="s">
        <v>251</v>
      </c>
      <c r="E540" s="9" t="s">
        <v>260</v>
      </c>
      <c r="F540" s="9" t="s">
        <v>287</v>
      </c>
      <c r="G540" s="10">
        <v>0.3</v>
      </c>
      <c r="H540" s="15">
        <v>33</v>
      </c>
      <c r="I540" s="15">
        <v>24</v>
      </c>
      <c r="J540" s="15">
        <v>19</v>
      </c>
      <c r="K540" s="15">
        <v>15</v>
      </c>
    </row>
    <row r="541" spans="1:11" ht="15" customHeight="1" x14ac:dyDescent="0.2">
      <c r="A541" s="9" t="s">
        <v>677</v>
      </c>
      <c r="B541" s="9" t="s">
        <v>1570</v>
      </c>
      <c r="C541" s="9" t="s">
        <v>243</v>
      </c>
      <c r="D541" s="9" t="s">
        <v>251</v>
      </c>
      <c r="E541" s="9" t="s">
        <v>262</v>
      </c>
      <c r="F541" s="9" t="s">
        <v>287</v>
      </c>
      <c r="G541" s="10">
        <v>0.4</v>
      </c>
      <c r="H541" s="15">
        <v>65</v>
      </c>
      <c r="I541" s="15">
        <v>51</v>
      </c>
      <c r="J541" s="15">
        <v>28</v>
      </c>
      <c r="K541" s="15">
        <v>133.9</v>
      </c>
    </row>
    <row r="542" spans="1:11" ht="15" customHeight="1" x14ac:dyDescent="0.2">
      <c r="A542" s="9" t="s">
        <v>678</v>
      </c>
      <c r="B542" s="9" t="s">
        <v>1570</v>
      </c>
      <c r="C542" s="9" t="s">
        <v>243</v>
      </c>
      <c r="D542" s="9" t="s">
        <v>251</v>
      </c>
      <c r="E542" s="9" t="s">
        <v>261</v>
      </c>
      <c r="F542" s="9" t="s">
        <v>287</v>
      </c>
      <c r="G542" s="10">
        <v>0</v>
      </c>
      <c r="H542" s="15">
        <v>46</v>
      </c>
      <c r="I542" s="15">
        <v>25</v>
      </c>
      <c r="J542" s="15">
        <v>18</v>
      </c>
      <c r="K542" s="15">
        <v>27.7</v>
      </c>
    </row>
    <row r="543" spans="1:11" ht="15" customHeight="1" x14ac:dyDescent="0.2">
      <c r="A543" s="9" t="s">
        <v>679</v>
      </c>
      <c r="B543" s="9" t="s">
        <v>1570</v>
      </c>
      <c r="C543" s="9" t="s">
        <v>243</v>
      </c>
      <c r="D543" s="9" t="s">
        <v>251</v>
      </c>
      <c r="E543" s="9" t="s">
        <v>262</v>
      </c>
      <c r="F543" s="9" t="s">
        <v>287</v>
      </c>
      <c r="G543" s="10">
        <v>0.6</v>
      </c>
      <c r="H543" s="15">
        <v>55</v>
      </c>
      <c r="I543" s="15">
        <v>44</v>
      </c>
      <c r="J543" s="15">
        <v>36</v>
      </c>
      <c r="K543" s="15">
        <v>106.3</v>
      </c>
    </row>
    <row r="544" spans="1:11" ht="15" customHeight="1" x14ac:dyDescent="0.2">
      <c r="A544" s="9" t="s">
        <v>680</v>
      </c>
      <c r="B544" s="9" t="s">
        <v>1570</v>
      </c>
      <c r="C544" s="9" t="s">
        <v>243</v>
      </c>
      <c r="D544" s="9" t="s">
        <v>251</v>
      </c>
      <c r="E544" s="9" t="s">
        <v>261</v>
      </c>
      <c r="F544" s="9" t="s">
        <v>287</v>
      </c>
      <c r="G544" s="10">
        <v>0.4</v>
      </c>
      <c r="H544" s="15">
        <v>65</v>
      </c>
      <c r="I544" s="15">
        <v>41</v>
      </c>
      <c r="J544" s="15">
        <v>16</v>
      </c>
      <c r="K544" s="15">
        <v>47</v>
      </c>
    </row>
    <row r="545" spans="1:11" ht="15" customHeight="1" x14ac:dyDescent="0.2">
      <c r="A545" s="9" t="s">
        <v>681</v>
      </c>
      <c r="B545" s="9" t="s">
        <v>1570</v>
      </c>
      <c r="C545" s="9" t="s">
        <v>243</v>
      </c>
      <c r="D545" s="9" t="s">
        <v>251</v>
      </c>
      <c r="E545" s="9" t="s">
        <v>263</v>
      </c>
      <c r="F545" s="9" t="s">
        <v>287</v>
      </c>
      <c r="G545" s="10">
        <v>0.6</v>
      </c>
      <c r="H545" s="15">
        <v>82</v>
      </c>
      <c r="I545" s="15">
        <v>79</v>
      </c>
      <c r="J545" s="15">
        <v>26</v>
      </c>
      <c r="K545" s="15">
        <v>204.5</v>
      </c>
    </row>
    <row r="546" spans="1:11" ht="15" customHeight="1" x14ac:dyDescent="0.2">
      <c r="A546" s="9" t="s">
        <v>682</v>
      </c>
      <c r="B546" s="9" t="s">
        <v>1570</v>
      </c>
      <c r="C546" s="9" t="s">
        <v>243</v>
      </c>
      <c r="D546" s="9" t="s">
        <v>251</v>
      </c>
      <c r="E546" s="9" t="s">
        <v>260</v>
      </c>
      <c r="F546" s="9" t="s">
        <v>287</v>
      </c>
      <c r="G546" s="10">
        <v>0.35</v>
      </c>
      <c r="H546" s="15">
        <v>55</v>
      </c>
      <c r="I546" s="15">
        <v>33</v>
      </c>
      <c r="J546" s="15">
        <v>23</v>
      </c>
      <c r="K546" s="15">
        <v>36.1</v>
      </c>
    </row>
    <row r="547" spans="1:11" ht="15" customHeight="1" x14ac:dyDescent="0.2">
      <c r="A547" s="9" t="s">
        <v>683</v>
      </c>
      <c r="B547" s="9" t="s">
        <v>1570</v>
      </c>
      <c r="C547" s="9" t="s">
        <v>243</v>
      </c>
      <c r="D547" s="9" t="s">
        <v>255</v>
      </c>
      <c r="E547" s="9" t="s">
        <v>261</v>
      </c>
      <c r="F547" s="9" t="s">
        <v>287</v>
      </c>
      <c r="G547" s="10">
        <v>0.6</v>
      </c>
      <c r="H547" s="15">
        <v>57</v>
      </c>
      <c r="I547" s="15">
        <v>44</v>
      </c>
      <c r="J547" s="15">
        <v>17</v>
      </c>
      <c r="K547" s="15">
        <v>41.8</v>
      </c>
    </row>
    <row r="548" spans="1:11" ht="15" customHeight="1" x14ac:dyDescent="0.2">
      <c r="A548" s="9" t="s">
        <v>684</v>
      </c>
      <c r="B548" s="9" t="s">
        <v>1570</v>
      </c>
      <c r="C548" s="9" t="s">
        <v>243</v>
      </c>
      <c r="D548" s="9" t="s">
        <v>251</v>
      </c>
      <c r="E548" s="9" t="s">
        <v>260</v>
      </c>
      <c r="F548" s="9" t="s">
        <v>287</v>
      </c>
      <c r="G548" s="10">
        <v>0.8</v>
      </c>
      <c r="H548" s="15">
        <v>54</v>
      </c>
      <c r="I548" s="15">
        <v>42</v>
      </c>
      <c r="J548" s="15">
        <v>27</v>
      </c>
      <c r="K548" s="15">
        <v>77.900000000000006</v>
      </c>
    </row>
    <row r="549" spans="1:11" ht="15" customHeight="1" x14ac:dyDescent="0.2">
      <c r="A549" s="9" t="s">
        <v>685</v>
      </c>
      <c r="B549" s="9" t="s">
        <v>1570</v>
      </c>
      <c r="C549" s="9" t="s">
        <v>243</v>
      </c>
      <c r="D549" s="9" t="s">
        <v>251</v>
      </c>
      <c r="E549" s="9" t="s">
        <v>260</v>
      </c>
      <c r="F549" s="9" t="s">
        <v>287</v>
      </c>
      <c r="G549" s="10">
        <v>0.3</v>
      </c>
      <c r="H549" s="15">
        <v>38</v>
      </c>
      <c r="I549" s="15">
        <v>37</v>
      </c>
      <c r="J549" s="15">
        <v>29</v>
      </c>
      <c r="K549" s="15">
        <v>34.700000000000003</v>
      </c>
    </row>
    <row r="550" spans="1:11" ht="15" customHeight="1" x14ac:dyDescent="0.2">
      <c r="A550" s="9" t="s">
        <v>686</v>
      </c>
      <c r="B550" s="9" t="s">
        <v>1570</v>
      </c>
      <c r="C550" s="9" t="s">
        <v>243</v>
      </c>
      <c r="D550" s="9" t="s">
        <v>251</v>
      </c>
      <c r="E550" s="9" t="s">
        <v>260</v>
      </c>
      <c r="F550" s="9" t="s">
        <v>287</v>
      </c>
      <c r="G550" s="10">
        <v>0.6</v>
      </c>
      <c r="H550" s="15">
        <v>53</v>
      </c>
      <c r="I550" s="15">
        <v>31</v>
      </c>
      <c r="J550" s="15">
        <v>25</v>
      </c>
      <c r="K550" s="15">
        <v>62</v>
      </c>
    </row>
    <row r="551" spans="1:11" ht="15" customHeight="1" x14ac:dyDescent="0.2">
      <c r="A551" s="9" t="s">
        <v>687</v>
      </c>
      <c r="B551" s="9" t="s">
        <v>1570</v>
      </c>
      <c r="C551" s="9" t="s">
        <v>243</v>
      </c>
      <c r="D551" s="9" t="s">
        <v>251</v>
      </c>
      <c r="E551" s="9" t="s">
        <v>260</v>
      </c>
      <c r="F551" s="9" t="s">
        <v>287</v>
      </c>
      <c r="G551" s="10">
        <v>0.7</v>
      </c>
      <c r="H551" s="15">
        <v>76</v>
      </c>
      <c r="I551" s="15">
        <v>41</v>
      </c>
      <c r="J551" s="15">
        <v>24</v>
      </c>
      <c r="K551" s="15">
        <v>81.2</v>
      </c>
    </row>
    <row r="552" spans="1:11" ht="15" customHeight="1" x14ac:dyDescent="0.2">
      <c r="A552" s="9" t="s">
        <v>688</v>
      </c>
      <c r="B552" s="9" t="s">
        <v>1570</v>
      </c>
      <c r="C552" s="9" t="s">
        <v>243</v>
      </c>
      <c r="D552" s="9" t="s">
        <v>251</v>
      </c>
      <c r="E552" s="9" t="s">
        <v>261</v>
      </c>
      <c r="F552" s="9" t="s">
        <v>287</v>
      </c>
      <c r="G552" s="10">
        <v>0.5</v>
      </c>
      <c r="H552" s="15">
        <v>57</v>
      </c>
      <c r="I552" s="15">
        <v>47</v>
      </c>
      <c r="J552" s="15">
        <v>41</v>
      </c>
      <c r="K552" s="15">
        <v>159.30000000000001</v>
      </c>
    </row>
    <row r="553" spans="1:11" ht="15" customHeight="1" x14ac:dyDescent="0.2">
      <c r="A553" s="9" t="s">
        <v>689</v>
      </c>
      <c r="B553" s="9" t="s">
        <v>1570</v>
      </c>
      <c r="C553" s="9" t="s">
        <v>243</v>
      </c>
      <c r="D553" s="9" t="s">
        <v>251</v>
      </c>
      <c r="E553" s="9" t="s">
        <v>262</v>
      </c>
      <c r="F553" s="9" t="s">
        <v>287</v>
      </c>
      <c r="G553" s="10">
        <v>0.4</v>
      </c>
      <c r="H553" s="15">
        <v>61</v>
      </c>
      <c r="I553" s="15">
        <v>49</v>
      </c>
      <c r="J553" s="15">
        <v>48</v>
      </c>
      <c r="K553" s="15">
        <v>157.5</v>
      </c>
    </row>
    <row r="554" spans="1:11" ht="15" customHeight="1" x14ac:dyDescent="0.2">
      <c r="A554" s="9" t="s">
        <v>690</v>
      </c>
      <c r="B554" s="9" t="s">
        <v>1570</v>
      </c>
      <c r="C554" s="9" t="s">
        <v>243</v>
      </c>
      <c r="D554" s="9" t="s">
        <v>251</v>
      </c>
      <c r="E554" s="9" t="s">
        <v>262</v>
      </c>
      <c r="F554" s="9" t="s">
        <v>287</v>
      </c>
      <c r="G554" s="10">
        <v>0.35</v>
      </c>
      <c r="H554" s="15">
        <v>61</v>
      </c>
      <c r="I554" s="15">
        <v>36</v>
      </c>
      <c r="J554" s="15">
        <v>18</v>
      </c>
      <c r="K554" s="15">
        <v>38.6</v>
      </c>
    </row>
    <row r="555" spans="1:11" ht="15" customHeight="1" x14ac:dyDescent="0.2">
      <c r="A555" s="9" t="s">
        <v>691</v>
      </c>
      <c r="B555" s="9" t="s">
        <v>1570</v>
      </c>
      <c r="C555" s="9" t="s">
        <v>243</v>
      </c>
      <c r="D555" s="9" t="s">
        <v>251</v>
      </c>
      <c r="E555" s="9" t="s">
        <v>260</v>
      </c>
      <c r="F555" s="9" t="s">
        <v>287</v>
      </c>
      <c r="G555" s="10">
        <v>0.4</v>
      </c>
      <c r="H555" s="15">
        <v>52</v>
      </c>
      <c r="I555" s="15">
        <v>36</v>
      </c>
      <c r="J555" s="15">
        <v>32</v>
      </c>
      <c r="K555" s="15">
        <v>72.2</v>
      </c>
    </row>
    <row r="556" spans="1:11" ht="15" customHeight="1" x14ac:dyDescent="0.2">
      <c r="A556" s="9" t="s">
        <v>692</v>
      </c>
      <c r="B556" s="9" t="s">
        <v>1570</v>
      </c>
      <c r="C556" s="9" t="s">
        <v>243</v>
      </c>
      <c r="D556" s="9" t="s">
        <v>251</v>
      </c>
      <c r="E556" s="9" t="s">
        <v>261</v>
      </c>
      <c r="F556" s="9" t="s">
        <v>287</v>
      </c>
      <c r="G556" s="10">
        <v>0.6</v>
      </c>
      <c r="H556" s="15">
        <v>57</v>
      </c>
      <c r="I556" s="15">
        <v>50</v>
      </c>
      <c r="J556" s="15">
        <v>29</v>
      </c>
      <c r="K556" s="15">
        <v>104</v>
      </c>
    </row>
    <row r="557" spans="1:11" ht="15" customHeight="1" x14ac:dyDescent="0.2">
      <c r="A557" s="9" t="s">
        <v>192</v>
      </c>
      <c r="B557" s="9" t="s">
        <v>1570</v>
      </c>
      <c r="C557" s="9" t="s">
        <v>242</v>
      </c>
      <c r="D557" s="9" t="s">
        <v>751</v>
      </c>
      <c r="E557" s="9" t="s">
        <v>261</v>
      </c>
      <c r="F557" s="9" t="s">
        <v>287</v>
      </c>
      <c r="G557" s="10">
        <v>0.6</v>
      </c>
      <c r="H557" s="15">
        <v>71</v>
      </c>
      <c r="I557" s="15">
        <v>55</v>
      </c>
      <c r="J557" s="15">
        <v>37</v>
      </c>
      <c r="K557" s="15">
        <v>148.5</v>
      </c>
    </row>
    <row r="558" spans="1:11" ht="15" customHeight="1" x14ac:dyDescent="0.2">
      <c r="A558" s="9" t="s">
        <v>738</v>
      </c>
      <c r="B558" s="9" t="s">
        <v>1570</v>
      </c>
      <c r="C558" s="9" t="s">
        <v>243</v>
      </c>
      <c r="D558" s="9" t="s">
        <v>251</v>
      </c>
      <c r="E558" s="9" t="s">
        <v>261</v>
      </c>
      <c r="F558" s="9" t="s">
        <v>287</v>
      </c>
      <c r="G558" s="10">
        <v>0.25</v>
      </c>
      <c r="H558" s="15">
        <v>53</v>
      </c>
      <c r="I558" s="15">
        <v>53</v>
      </c>
      <c r="J558" s="15">
        <v>23</v>
      </c>
      <c r="K558" s="15">
        <v>76.099999999999994</v>
      </c>
    </row>
    <row r="559" spans="1:11" ht="15" customHeight="1" x14ac:dyDescent="0.2">
      <c r="A559" s="9" t="s">
        <v>739</v>
      </c>
      <c r="B559" s="9" t="s">
        <v>1570</v>
      </c>
      <c r="C559" s="9" t="s">
        <v>242</v>
      </c>
      <c r="D559" s="9" t="s">
        <v>251</v>
      </c>
      <c r="E559" s="9" t="s">
        <v>261</v>
      </c>
      <c r="F559" s="9" t="s">
        <v>287</v>
      </c>
      <c r="G559" s="10">
        <v>0.2</v>
      </c>
      <c r="H559" s="15">
        <v>83</v>
      </c>
      <c r="I559" s="15">
        <v>71</v>
      </c>
      <c r="J559" s="15">
        <v>26</v>
      </c>
      <c r="K559" s="15">
        <v>155.19999999999999</v>
      </c>
    </row>
    <row r="560" spans="1:11" ht="15" customHeight="1" x14ac:dyDescent="0.2">
      <c r="A560" s="9" t="s">
        <v>110</v>
      </c>
      <c r="B560" s="9" t="s">
        <v>1570</v>
      </c>
      <c r="C560" s="9" t="s">
        <v>243</v>
      </c>
      <c r="D560" s="9" t="s">
        <v>251</v>
      </c>
      <c r="E560" s="9" t="s">
        <v>262</v>
      </c>
      <c r="F560" s="9" t="s">
        <v>287</v>
      </c>
      <c r="G560" s="10">
        <v>0.55000000000000004</v>
      </c>
      <c r="H560" s="15">
        <v>69</v>
      </c>
      <c r="I560" s="15">
        <v>60</v>
      </c>
      <c r="J560" s="15">
        <v>47</v>
      </c>
      <c r="K560" s="15">
        <v>219.7</v>
      </c>
    </row>
    <row r="561" spans="1:11" ht="15" customHeight="1" x14ac:dyDescent="0.2">
      <c r="A561" s="9" t="s">
        <v>231</v>
      </c>
      <c r="B561" s="9" t="s">
        <v>1570</v>
      </c>
      <c r="C561" s="9" t="s">
        <v>243</v>
      </c>
      <c r="D561" s="9" t="s">
        <v>251</v>
      </c>
      <c r="E561" s="9" t="s">
        <v>261</v>
      </c>
      <c r="F561" s="9" t="s">
        <v>287</v>
      </c>
      <c r="G561" s="10">
        <v>0.6</v>
      </c>
      <c r="H561" s="15">
        <v>73</v>
      </c>
      <c r="I561" s="15">
        <v>69</v>
      </c>
      <c r="J561" s="15">
        <v>43</v>
      </c>
      <c r="K561" s="15">
        <v>196.9</v>
      </c>
    </row>
    <row r="562" spans="1:11" ht="15" customHeight="1" x14ac:dyDescent="0.2">
      <c r="A562" s="9" t="s">
        <v>102</v>
      </c>
      <c r="B562" s="9" t="s">
        <v>1570</v>
      </c>
      <c r="C562" s="9" t="s">
        <v>243</v>
      </c>
      <c r="D562" s="9" t="s">
        <v>253</v>
      </c>
      <c r="E562" s="9" t="s">
        <v>261</v>
      </c>
      <c r="F562" s="9" t="s">
        <v>287</v>
      </c>
      <c r="G562" s="10">
        <v>0.35</v>
      </c>
      <c r="H562" s="15">
        <v>65</v>
      </c>
      <c r="I562" s="15">
        <v>50</v>
      </c>
      <c r="J562" s="15">
        <v>32</v>
      </c>
      <c r="K562" s="15">
        <v>88.1</v>
      </c>
    </row>
    <row r="563" spans="1:11" ht="15" customHeight="1" x14ac:dyDescent="0.2">
      <c r="A563" s="9" t="s">
        <v>201</v>
      </c>
      <c r="B563" s="9" t="s">
        <v>1570</v>
      </c>
      <c r="C563" s="9" t="s">
        <v>243</v>
      </c>
      <c r="D563" s="9" t="s">
        <v>751</v>
      </c>
      <c r="E563" s="9" t="s">
        <v>262</v>
      </c>
      <c r="F563" s="9" t="s">
        <v>287</v>
      </c>
      <c r="G563" s="10">
        <v>0.3</v>
      </c>
      <c r="H563" s="15">
        <v>75</v>
      </c>
      <c r="I563" s="15">
        <v>70</v>
      </c>
      <c r="J563" s="15">
        <v>56</v>
      </c>
      <c r="K563" s="15">
        <v>337.9</v>
      </c>
    </row>
    <row r="564" spans="1:11" ht="15" customHeight="1" x14ac:dyDescent="0.2">
      <c r="A564" s="9" t="s">
        <v>83</v>
      </c>
      <c r="B564" s="9" t="s">
        <v>1570</v>
      </c>
      <c r="C564" s="9" t="s">
        <v>242</v>
      </c>
      <c r="D564" s="9" t="s">
        <v>254</v>
      </c>
      <c r="E564" s="9" t="s">
        <v>261</v>
      </c>
      <c r="F564" s="9" t="s">
        <v>287</v>
      </c>
      <c r="G564" s="10">
        <v>0.55000000000000004</v>
      </c>
      <c r="H564" s="15">
        <v>60</v>
      </c>
      <c r="I564" s="15">
        <v>50</v>
      </c>
      <c r="J564" s="15">
        <v>38</v>
      </c>
      <c r="K564" s="15">
        <v>133.5</v>
      </c>
    </row>
    <row r="565" spans="1:11" ht="15" customHeight="1" x14ac:dyDescent="0.2">
      <c r="A565" s="9" t="s">
        <v>896</v>
      </c>
      <c r="B565" s="9" t="s">
        <v>1570</v>
      </c>
      <c r="C565" s="9" t="s">
        <v>242</v>
      </c>
      <c r="D565" s="9" t="s">
        <v>251</v>
      </c>
      <c r="E565" s="9" t="s">
        <v>260</v>
      </c>
      <c r="F565" s="9" t="s">
        <v>287</v>
      </c>
      <c r="G565" s="10">
        <v>0.25</v>
      </c>
      <c r="H565" s="15">
        <v>87</v>
      </c>
      <c r="I565" s="15">
        <v>63</v>
      </c>
      <c r="J565" s="15">
        <v>32</v>
      </c>
      <c r="K565" s="15">
        <v>249.5</v>
      </c>
    </row>
    <row r="566" spans="1:11" ht="15" customHeight="1" x14ac:dyDescent="0.2">
      <c r="A566" s="9" t="s">
        <v>897</v>
      </c>
      <c r="B566" s="9" t="s">
        <v>1570</v>
      </c>
      <c r="C566" s="9" t="s">
        <v>242</v>
      </c>
      <c r="D566" s="9" t="s">
        <v>258</v>
      </c>
      <c r="E566" s="9" t="s">
        <v>260</v>
      </c>
      <c r="F566" s="9" t="s">
        <v>287</v>
      </c>
      <c r="G566" s="10">
        <v>0.6</v>
      </c>
      <c r="H566" s="15">
        <v>59</v>
      </c>
      <c r="I566" s="15">
        <v>59</v>
      </c>
      <c r="J566" s="15">
        <v>19</v>
      </c>
      <c r="K566" s="15">
        <v>79</v>
      </c>
    </row>
    <row r="567" spans="1:11" ht="15" customHeight="1" x14ac:dyDescent="0.2">
      <c r="A567" s="9" t="s">
        <v>903</v>
      </c>
      <c r="B567" s="9" t="s">
        <v>1570</v>
      </c>
      <c r="C567" s="9" t="s">
        <v>243</v>
      </c>
      <c r="D567" s="9" t="s">
        <v>251</v>
      </c>
      <c r="E567" s="9" t="s">
        <v>260</v>
      </c>
      <c r="F567" s="9" t="s">
        <v>287</v>
      </c>
      <c r="G567" s="10">
        <v>0.7</v>
      </c>
      <c r="H567" s="15">
        <v>68</v>
      </c>
      <c r="I567" s="15">
        <v>46</v>
      </c>
      <c r="J567" s="15">
        <v>28</v>
      </c>
      <c r="K567" s="15">
        <v>112.3</v>
      </c>
    </row>
    <row r="568" spans="1:11" ht="15" customHeight="1" x14ac:dyDescent="0.2">
      <c r="A568" s="9" t="s">
        <v>227</v>
      </c>
      <c r="B568" s="9" t="s">
        <v>1570</v>
      </c>
      <c r="C568" s="9" t="s">
        <v>243</v>
      </c>
      <c r="D568" s="9" t="s">
        <v>251</v>
      </c>
      <c r="E568" s="9" t="s">
        <v>260</v>
      </c>
      <c r="F568" s="9" t="s">
        <v>287</v>
      </c>
      <c r="G568" s="10">
        <v>0.7</v>
      </c>
      <c r="H568" s="15">
        <v>61</v>
      </c>
      <c r="I568" s="15">
        <v>54</v>
      </c>
      <c r="J568" s="15">
        <v>40</v>
      </c>
      <c r="K568" s="15">
        <v>160.19999999999999</v>
      </c>
    </row>
    <row r="569" spans="1:11" ht="15" customHeight="1" x14ac:dyDescent="0.2">
      <c r="A569" s="9" t="s">
        <v>960</v>
      </c>
      <c r="B569" s="9" t="s">
        <v>1570</v>
      </c>
      <c r="C569" s="9" t="s">
        <v>243</v>
      </c>
      <c r="D569" s="9" t="s">
        <v>251</v>
      </c>
      <c r="E569" s="9" t="s">
        <v>261</v>
      </c>
      <c r="F569" s="9" t="s">
        <v>287</v>
      </c>
      <c r="G569" s="10">
        <v>0.6</v>
      </c>
      <c r="H569" s="15">
        <v>46</v>
      </c>
      <c r="I569" s="15">
        <v>42</v>
      </c>
      <c r="J569" s="15">
        <v>26</v>
      </c>
      <c r="K569" s="15">
        <v>73.5</v>
      </c>
    </row>
    <row r="570" spans="1:11" ht="15" customHeight="1" x14ac:dyDescent="0.2">
      <c r="A570" s="9" t="s">
        <v>618</v>
      </c>
      <c r="B570" s="9" t="s">
        <v>1570</v>
      </c>
      <c r="C570" s="9" t="s">
        <v>242</v>
      </c>
      <c r="D570" s="9" t="s">
        <v>258</v>
      </c>
      <c r="E570" s="9" t="s">
        <v>262</v>
      </c>
      <c r="F570" s="9" t="s">
        <v>287</v>
      </c>
      <c r="G570" s="10">
        <v>0.35</v>
      </c>
      <c r="H570" s="15">
        <v>70</v>
      </c>
      <c r="I570" s="15">
        <v>56</v>
      </c>
      <c r="J570" s="15">
        <v>28</v>
      </c>
      <c r="K570" s="15">
        <v>124.7</v>
      </c>
    </row>
    <row r="571" spans="1:11" ht="15" customHeight="1" x14ac:dyDescent="0.2">
      <c r="A571" t="s">
        <v>277</v>
      </c>
      <c r="B571" s="9" t="s">
        <v>1570</v>
      </c>
      <c r="C571" s="9" t="s">
        <v>242</v>
      </c>
      <c r="D571" s="9" t="s">
        <v>251</v>
      </c>
      <c r="E571" s="9" t="s">
        <v>262</v>
      </c>
      <c r="F571" s="9" t="s">
        <v>287</v>
      </c>
      <c r="G571" s="10">
        <v>0.6</v>
      </c>
      <c r="H571" s="15">
        <v>67</v>
      </c>
      <c r="I571" s="15">
        <v>59</v>
      </c>
      <c r="J571" s="15">
        <v>26</v>
      </c>
      <c r="K571" s="15">
        <v>283.8</v>
      </c>
    </row>
    <row r="572" spans="1:11" ht="15" customHeight="1" x14ac:dyDescent="0.2">
      <c r="A572" t="s">
        <v>1152</v>
      </c>
      <c r="B572" s="9" t="s">
        <v>1570</v>
      </c>
      <c r="C572" s="9" t="s">
        <v>242</v>
      </c>
      <c r="D572" s="9" t="s">
        <v>251</v>
      </c>
      <c r="E572" s="9" t="s">
        <v>261</v>
      </c>
      <c r="F572" s="9" t="s">
        <v>287</v>
      </c>
      <c r="G572" s="10">
        <v>0.6</v>
      </c>
      <c r="H572" s="15">
        <v>67</v>
      </c>
      <c r="I572" s="15">
        <v>44</v>
      </c>
      <c r="J572" s="15">
        <v>26</v>
      </c>
      <c r="K572" s="15">
        <v>97.8</v>
      </c>
    </row>
    <row r="573" spans="1:11" ht="15" customHeight="1" x14ac:dyDescent="0.2">
      <c r="A573" s="9" t="s">
        <v>1399</v>
      </c>
      <c r="B573" s="9" t="s">
        <v>1570</v>
      </c>
      <c r="C573" s="9" t="s">
        <v>242</v>
      </c>
      <c r="D573" s="9" t="s">
        <v>253</v>
      </c>
      <c r="E573" s="9" t="s">
        <v>261</v>
      </c>
      <c r="F573" s="9" t="s">
        <v>287</v>
      </c>
      <c r="G573" s="10">
        <v>0.35</v>
      </c>
      <c r="H573" s="15">
        <v>53</v>
      </c>
      <c r="I573" s="15">
        <v>56</v>
      </c>
      <c r="J573" s="15">
        <v>31</v>
      </c>
      <c r="K573" s="15">
        <v>179.8</v>
      </c>
    </row>
    <row r="574" spans="1:11" ht="15" customHeight="1" x14ac:dyDescent="0.2">
      <c r="A574" s="9" t="s">
        <v>1400</v>
      </c>
      <c r="B574" s="9" t="s">
        <v>1570</v>
      </c>
      <c r="C574" s="9" t="s">
        <v>242</v>
      </c>
      <c r="D574" s="9" t="s">
        <v>253</v>
      </c>
      <c r="E574" s="9" t="s">
        <v>261</v>
      </c>
      <c r="F574" s="9" t="s">
        <v>287</v>
      </c>
      <c r="G574" s="10">
        <v>0.7</v>
      </c>
      <c r="H574" s="15">
        <v>51</v>
      </c>
      <c r="I574" s="15">
        <v>35</v>
      </c>
      <c r="J574" s="15">
        <v>25</v>
      </c>
      <c r="K574" s="15">
        <v>110.7</v>
      </c>
    </row>
    <row r="575" spans="1:11" ht="15" customHeight="1" x14ac:dyDescent="0.2">
      <c r="A575" s="9" t="s">
        <v>1401</v>
      </c>
      <c r="B575" s="9" t="s">
        <v>1570</v>
      </c>
      <c r="C575" s="9" t="s">
        <v>242</v>
      </c>
      <c r="D575" s="9" t="s">
        <v>253</v>
      </c>
      <c r="E575" s="9" t="s">
        <v>261</v>
      </c>
      <c r="F575" s="9" t="s">
        <v>287</v>
      </c>
      <c r="G575" s="10">
        <v>0.55000000000000004</v>
      </c>
      <c r="H575" s="15">
        <v>66</v>
      </c>
      <c r="I575" s="15">
        <v>43</v>
      </c>
      <c r="J575" s="15">
        <v>35</v>
      </c>
      <c r="K575" s="15">
        <v>170.4</v>
      </c>
    </row>
    <row r="576" spans="1:11" ht="15" customHeight="1" x14ac:dyDescent="0.2">
      <c r="A576" s="9" t="s">
        <v>1402</v>
      </c>
      <c r="B576" s="9" t="s">
        <v>1570</v>
      </c>
      <c r="C576" s="9" t="s">
        <v>242</v>
      </c>
      <c r="D576" s="9" t="s">
        <v>253</v>
      </c>
      <c r="E576" s="9" t="s">
        <v>262</v>
      </c>
      <c r="F576" s="9" t="s">
        <v>287</v>
      </c>
      <c r="G576" s="10">
        <v>0.85</v>
      </c>
      <c r="H576" s="15">
        <v>72</v>
      </c>
      <c r="I576" s="15">
        <v>57</v>
      </c>
      <c r="J576" s="15">
        <v>33</v>
      </c>
      <c r="K576" s="15">
        <v>307</v>
      </c>
    </row>
    <row r="577" spans="1:11" ht="15" customHeight="1" x14ac:dyDescent="0.2">
      <c r="A577" s="9" t="s">
        <v>1403</v>
      </c>
      <c r="B577" s="9" t="s">
        <v>1570</v>
      </c>
      <c r="C577" s="9" t="s">
        <v>242</v>
      </c>
      <c r="D577" s="9" t="s">
        <v>253</v>
      </c>
      <c r="E577" s="9" t="s">
        <v>260</v>
      </c>
      <c r="F577" s="9" t="s">
        <v>287</v>
      </c>
      <c r="G577" s="10">
        <v>0.55000000000000004</v>
      </c>
      <c r="H577" s="15">
        <v>70</v>
      </c>
      <c r="I577" s="15">
        <v>53</v>
      </c>
      <c r="J577" s="15">
        <v>37</v>
      </c>
      <c r="K577" s="15">
        <v>231.2</v>
      </c>
    </row>
    <row r="578" spans="1:11" ht="15" customHeight="1" x14ac:dyDescent="0.2">
      <c r="A578" s="9" t="s">
        <v>1404</v>
      </c>
      <c r="B578" s="9" t="s">
        <v>1570</v>
      </c>
      <c r="C578" s="9" t="s">
        <v>242</v>
      </c>
      <c r="D578" s="9" t="s">
        <v>253</v>
      </c>
      <c r="E578" s="9" t="s">
        <v>263</v>
      </c>
      <c r="F578" s="9" t="s">
        <v>287</v>
      </c>
      <c r="G578" s="10">
        <v>0.6</v>
      </c>
      <c r="H578" s="15">
        <v>77</v>
      </c>
      <c r="I578" s="15">
        <v>55</v>
      </c>
      <c r="J578" s="15">
        <v>24</v>
      </c>
      <c r="K578" s="15">
        <v>237.7</v>
      </c>
    </row>
    <row r="579" spans="1:11" ht="15" customHeight="1" x14ac:dyDescent="0.2">
      <c r="A579" s="9" t="s">
        <v>1405</v>
      </c>
      <c r="B579" s="9" t="s">
        <v>1570</v>
      </c>
      <c r="C579" s="9" t="s">
        <v>242</v>
      </c>
      <c r="D579" s="9" t="s">
        <v>253</v>
      </c>
      <c r="E579" s="9" t="s">
        <v>262</v>
      </c>
      <c r="F579" s="9" t="s">
        <v>287</v>
      </c>
      <c r="G579" s="10">
        <v>0.35</v>
      </c>
      <c r="H579" s="15">
        <v>67</v>
      </c>
      <c r="I579" s="15">
        <v>44</v>
      </c>
      <c r="J579" s="15">
        <v>41</v>
      </c>
      <c r="K579" s="15">
        <v>258.2</v>
      </c>
    </row>
    <row r="580" spans="1:11" ht="15" customHeight="1" x14ac:dyDescent="0.2">
      <c r="A580" s="9" t="s">
        <v>1406</v>
      </c>
      <c r="B580" s="9" t="s">
        <v>1570</v>
      </c>
      <c r="C580" s="9" t="s">
        <v>242</v>
      </c>
      <c r="D580" s="9" t="s">
        <v>253</v>
      </c>
      <c r="E580" s="9" t="s">
        <v>263</v>
      </c>
      <c r="F580" s="9" t="s">
        <v>287</v>
      </c>
      <c r="G580" s="10">
        <v>0.4</v>
      </c>
      <c r="H580" s="15">
        <v>66</v>
      </c>
      <c r="I580" s="15">
        <v>52</v>
      </c>
      <c r="J580" s="15">
        <v>17</v>
      </c>
      <c r="K580" s="15">
        <v>93.8</v>
      </c>
    </row>
    <row r="581" spans="1:11" ht="15" customHeight="1" x14ac:dyDescent="0.2">
      <c r="A581" s="9" t="s">
        <v>1407</v>
      </c>
      <c r="B581" s="9" t="s">
        <v>1570</v>
      </c>
      <c r="C581" s="9" t="s">
        <v>242</v>
      </c>
      <c r="D581" s="9" t="s">
        <v>253</v>
      </c>
      <c r="E581" s="9" t="s">
        <v>261</v>
      </c>
      <c r="F581" s="9" t="s">
        <v>287</v>
      </c>
      <c r="G581" s="10">
        <v>0.05</v>
      </c>
      <c r="H581" s="15">
        <v>66</v>
      </c>
      <c r="I581" s="15">
        <v>43</v>
      </c>
      <c r="J581" s="15">
        <v>24</v>
      </c>
      <c r="K581" s="15">
        <v>180.6</v>
      </c>
    </row>
    <row r="582" spans="1:11" ht="15" customHeight="1" x14ac:dyDescent="0.2">
      <c r="A582" s="9" t="s">
        <v>1408</v>
      </c>
      <c r="B582" s="9" t="s">
        <v>1570</v>
      </c>
      <c r="C582" s="9" t="s">
        <v>242</v>
      </c>
      <c r="D582" s="9" t="s">
        <v>253</v>
      </c>
      <c r="E582" s="9" t="s">
        <v>262</v>
      </c>
      <c r="F582" s="9" t="s">
        <v>287</v>
      </c>
      <c r="G582" s="10">
        <v>0.65</v>
      </c>
      <c r="H582" s="15">
        <v>49</v>
      </c>
      <c r="I582" s="15">
        <v>32</v>
      </c>
      <c r="J582" s="15">
        <v>31</v>
      </c>
      <c r="K582" s="15">
        <v>91.6</v>
      </c>
    </row>
    <row r="583" spans="1:11" ht="15" customHeight="1" x14ac:dyDescent="0.2">
      <c r="A583" s="9" t="s">
        <v>1409</v>
      </c>
      <c r="B583" s="9" t="s">
        <v>1570</v>
      </c>
      <c r="C583" s="9" t="s">
        <v>242</v>
      </c>
      <c r="D583" s="9" t="s">
        <v>253</v>
      </c>
      <c r="E583" s="9" t="s">
        <v>261</v>
      </c>
      <c r="F583" s="9" t="s">
        <v>287</v>
      </c>
      <c r="G583" s="10">
        <v>0.6</v>
      </c>
      <c r="H583" s="15">
        <v>33</v>
      </c>
      <c r="I583" s="15">
        <v>29</v>
      </c>
      <c r="J583" s="15">
        <v>12</v>
      </c>
      <c r="K583" s="15">
        <v>21.3</v>
      </c>
    </row>
    <row r="584" spans="1:11" ht="15" customHeight="1" x14ac:dyDescent="0.2">
      <c r="A584" s="9" t="s">
        <v>1410</v>
      </c>
      <c r="B584" s="9" t="s">
        <v>1570</v>
      </c>
      <c r="C584" s="9" t="s">
        <v>242</v>
      </c>
      <c r="D584" s="9" t="s">
        <v>253</v>
      </c>
      <c r="E584" s="9" t="s">
        <v>263</v>
      </c>
      <c r="F584" s="9" t="s">
        <v>287</v>
      </c>
      <c r="G584" s="10">
        <v>0.6</v>
      </c>
      <c r="H584" s="15">
        <v>53</v>
      </c>
      <c r="I584" s="15">
        <v>32</v>
      </c>
      <c r="J584" s="15">
        <v>8</v>
      </c>
      <c r="K584" s="15">
        <v>30.2</v>
      </c>
    </row>
    <row r="585" spans="1:11" ht="15" customHeight="1" x14ac:dyDescent="0.2">
      <c r="A585" s="24" t="s">
        <v>1575</v>
      </c>
      <c r="B585" s="9" t="s">
        <v>1570</v>
      </c>
      <c r="C585" s="9" t="s">
        <v>242</v>
      </c>
      <c r="D585" s="9" t="s">
        <v>253</v>
      </c>
      <c r="E585" s="9" t="s">
        <v>262</v>
      </c>
      <c r="F585" s="9" t="s">
        <v>287</v>
      </c>
      <c r="G585" s="10">
        <v>0.6</v>
      </c>
      <c r="H585" s="15">
        <v>67</v>
      </c>
      <c r="I585" s="15">
        <v>62</v>
      </c>
      <c r="J585" s="15">
        <v>30</v>
      </c>
      <c r="K585" s="15">
        <v>329.5</v>
      </c>
    </row>
    <row r="586" spans="1:11" ht="15" customHeight="1" x14ac:dyDescent="0.2">
      <c r="A586" s="9" t="s">
        <v>1411</v>
      </c>
      <c r="B586" s="9" t="s">
        <v>1570</v>
      </c>
      <c r="C586" s="9" t="s">
        <v>242</v>
      </c>
      <c r="D586" s="9" t="s">
        <v>253</v>
      </c>
      <c r="E586" s="9" t="s">
        <v>262</v>
      </c>
      <c r="F586" s="9" t="s">
        <v>287</v>
      </c>
      <c r="G586" s="10">
        <v>0.3</v>
      </c>
      <c r="H586" s="15">
        <v>71</v>
      </c>
      <c r="I586" s="15">
        <v>66</v>
      </c>
      <c r="J586" s="15">
        <v>41</v>
      </c>
      <c r="K586" s="15">
        <v>344</v>
      </c>
    </row>
    <row r="587" spans="1:11" ht="15" customHeight="1" x14ac:dyDescent="0.2">
      <c r="A587" s="9" t="s">
        <v>1412</v>
      </c>
      <c r="B587" s="9" t="s">
        <v>1570</v>
      </c>
      <c r="C587" s="9" t="s">
        <v>242</v>
      </c>
      <c r="D587" s="9" t="s">
        <v>253</v>
      </c>
      <c r="E587" s="9" t="s">
        <v>261</v>
      </c>
      <c r="F587" s="9" t="s">
        <v>287</v>
      </c>
      <c r="G587" s="10">
        <v>0.4</v>
      </c>
      <c r="H587" s="15">
        <v>69</v>
      </c>
      <c r="I587" s="15">
        <v>40</v>
      </c>
      <c r="J587" s="15">
        <v>37</v>
      </c>
      <c r="K587" s="15">
        <v>222</v>
      </c>
    </row>
    <row r="588" spans="1:11" ht="15" customHeight="1" x14ac:dyDescent="0.2">
      <c r="A588" s="9" t="s">
        <v>1413</v>
      </c>
      <c r="B588" s="9" t="s">
        <v>1570</v>
      </c>
      <c r="C588" s="9" t="s">
        <v>242</v>
      </c>
      <c r="D588" s="9" t="s">
        <v>253</v>
      </c>
      <c r="E588" s="9" t="s">
        <v>263</v>
      </c>
      <c r="F588" s="9" t="s">
        <v>287</v>
      </c>
      <c r="G588" s="10">
        <v>0.55000000000000004</v>
      </c>
      <c r="H588" s="15">
        <v>84</v>
      </c>
      <c r="I588" s="15">
        <v>57</v>
      </c>
      <c r="J588" s="15">
        <v>33</v>
      </c>
      <c r="K588" s="15">
        <v>367</v>
      </c>
    </row>
    <row r="589" spans="1:11" ht="15" customHeight="1" x14ac:dyDescent="0.2">
      <c r="A589" s="9" t="s">
        <v>1414</v>
      </c>
      <c r="B589" s="9" t="s">
        <v>1570</v>
      </c>
      <c r="C589" s="9" t="s">
        <v>242</v>
      </c>
      <c r="D589" s="9" t="s">
        <v>253</v>
      </c>
      <c r="E589" s="9" t="s">
        <v>262</v>
      </c>
      <c r="F589" s="9" t="s">
        <v>287</v>
      </c>
      <c r="G589" s="10">
        <v>0.7</v>
      </c>
      <c r="H589" s="15">
        <v>68</v>
      </c>
      <c r="I589" s="15">
        <v>54</v>
      </c>
      <c r="J589" s="15">
        <v>23</v>
      </c>
      <c r="K589" s="15">
        <v>205.7</v>
      </c>
    </row>
    <row r="590" spans="1:11" ht="15" customHeight="1" x14ac:dyDescent="0.2">
      <c r="A590" s="9" t="s">
        <v>1415</v>
      </c>
      <c r="B590" s="9" t="s">
        <v>1570</v>
      </c>
      <c r="C590" s="9" t="s">
        <v>242</v>
      </c>
      <c r="D590" s="9" t="s">
        <v>253</v>
      </c>
      <c r="E590" s="9" t="s">
        <v>262</v>
      </c>
      <c r="F590" s="9" t="s">
        <v>287</v>
      </c>
      <c r="G590" s="10">
        <v>0.6</v>
      </c>
      <c r="H590" s="15">
        <v>61</v>
      </c>
      <c r="I590" s="15">
        <v>42</v>
      </c>
      <c r="J590" s="15">
        <v>29</v>
      </c>
      <c r="K590" s="15">
        <v>164.9</v>
      </c>
    </row>
    <row r="591" spans="1:11" ht="15" customHeight="1" x14ac:dyDescent="0.2">
      <c r="A591" s="9" t="s">
        <v>1416</v>
      </c>
      <c r="B591" s="9" t="s">
        <v>1570</v>
      </c>
      <c r="C591" s="9" t="s">
        <v>242</v>
      </c>
      <c r="D591" s="9" t="s">
        <v>253</v>
      </c>
      <c r="E591" s="9" t="s">
        <v>261</v>
      </c>
      <c r="F591" s="9" t="s">
        <v>287</v>
      </c>
      <c r="G591" s="10">
        <v>0.55000000000000004</v>
      </c>
      <c r="H591" s="15">
        <v>74</v>
      </c>
      <c r="I591" s="15">
        <v>42</v>
      </c>
      <c r="J591" s="15">
        <v>12</v>
      </c>
      <c r="K591" s="15">
        <v>75.099999999999994</v>
      </c>
    </row>
    <row r="592" spans="1:11" ht="15" customHeight="1" x14ac:dyDescent="0.2">
      <c r="A592" s="9" t="s">
        <v>1417</v>
      </c>
      <c r="B592" s="9" t="s">
        <v>1570</v>
      </c>
      <c r="C592" s="9" t="s">
        <v>242</v>
      </c>
      <c r="D592" s="9" t="s">
        <v>253</v>
      </c>
      <c r="E592" s="9" t="s">
        <v>262</v>
      </c>
      <c r="F592" s="9" t="s">
        <v>287</v>
      </c>
      <c r="G592" s="10">
        <v>0.4</v>
      </c>
      <c r="H592" s="15">
        <v>68</v>
      </c>
      <c r="I592" s="15">
        <v>59</v>
      </c>
      <c r="J592" s="15">
        <v>37</v>
      </c>
      <c r="K592" s="15">
        <v>275</v>
      </c>
    </row>
    <row r="593" spans="1:11" ht="15" customHeight="1" x14ac:dyDescent="0.2">
      <c r="A593" s="9" t="s">
        <v>1418</v>
      </c>
      <c r="B593" s="9" t="s">
        <v>1570</v>
      </c>
      <c r="C593" s="9" t="s">
        <v>242</v>
      </c>
      <c r="D593" s="9" t="s">
        <v>253</v>
      </c>
      <c r="E593" s="9" t="s">
        <v>261</v>
      </c>
      <c r="F593" s="9" t="s">
        <v>287</v>
      </c>
      <c r="G593" s="10">
        <v>0.45</v>
      </c>
      <c r="H593" s="15">
        <v>83</v>
      </c>
      <c r="I593" s="15">
        <v>44</v>
      </c>
      <c r="J593" s="15">
        <v>36</v>
      </c>
      <c r="K593" s="15">
        <v>287.10000000000002</v>
      </c>
    </row>
    <row r="594" spans="1:11" ht="15" customHeight="1" x14ac:dyDescent="0.2">
      <c r="A594" s="9" t="s">
        <v>1419</v>
      </c>
      <c r="B594" s="9" t="s">
        <v>1570</v>
      </c>
      <c r="C594" s="9" t="s">
        <v>242</v>
      </c>
      <c r="D594" s="9" t="s">
        <v>253</v>
      </c>
      <c r="E594" s="9" t="s">
        <v>262</v>
      </c>
      <c r="F594" s="9" t="s">
        <v>287</v>
      </c>
      <c r="G594" s="10">
        <v>0.1</v>
      </c>
      <c r="H594" s="15">
        <v>69</v>
      </c>
      <c r="I594" s="15">
        <v>55</v>
      </c>
      <c r="J594" s="15">
        <v>43</v>
      </c>
      <c r="K594" s="15">
        <v>289.3</v>
      </c>
    </row>
    <row r="595" spans="1:11" ht="15" customHeight="1" x14ac:dyDescent="0.2">
      <c r="A595" s="9" t="s">
        <v>1420</v>
      </c>
      <c r="B595" s="9" t="s">
        <v>1570</v>
      </c>
      <c r="C595" s="9" t="s">
        <v>242</v>
      </c>
      <c r="D595" s="9" t="s">
        <v>253</v>
      </c>
      <c r="E595" s="9" t="s">
        <v>261</v>
      </c>
      <c r="F595" s="9" t="s">
        <v>287</v>
      </c>
      <c r="G595" s="10">
        <v>0.35</v>
      </c>
      <c r="H595" s="15">
        <v>76</v>
      </c>
      <c r="I595" s="15">
        <v>52</v>
      </c>
      <c r="J595" s="15">
        <v>33</v>
      </c>
      <c r="K595" s="15">
        <v>165.7</v>
      </c>
    </row>
    <row r="596" spans="1:11" ht="15" customHeight="1" x14ac:dyDescent="0.2">
      <c r="A596" s="9" t="s">
        <v>1421</v>
      </c>
      <c r="B596" s="9" t="s">
        <v>1570</v>
      </c>
      <c r="C596" s="9" t="s">
        <v>242</v>
      </c>
      <c r="D596" s="9" t="s">
        <v>253</v>
      </c>
      <c r="E596" s="9" t="s">
        <v>262</v>
      </c>
      <c r="F596" s="9" t="s">
        <v>287</v>
      </c>
      <c r="G596" s="10">
        <v>0.6</v>
      </c>
      <c r="H596" s="15">
        <v>97</v>
      </c>
      <c r="I596" s="15">
        <v>50</v>
      </c>
      <c r="J596" s="15">
        <v>43</v>
      </c>
      <c r="K596" s="15">
        <v>485</v>
      </c>
    </row>
    <row r="597" spans="1:11" ht="15" customHeight="1" x14ac:dyDescent="0.2">
      <c r="A597" s="9" t="s">
        <v>1422</v>
      </c>
      <c r="B597" s="9" t="s">
        <v>1570</v>
      </c>
      <c r="C597" s="9" t="s">
        <v>242</v>
      </c>
      <c r="D597" s="9" t="s">
        <v>253</v>
      </c>
      <c r="E597" s="9" t="s">
        <v>262</v>
      </c>
      <c r="F597" s="9" t="s">
        <v>287</v>
      </c>
      <c r="G597" s="10">
        <v>0.4</v>
      </c>
      <c r="H597" s="15">
        <v>72</v>
      </c>
      <c r="I597" s="15">
        <v>55</v>
      </c>
      <c r="J597" s="15">
        <v>40</v>
      </c>
      <c r="K597" s="15">
        <v>400.7</v>
      </c>
    </row>
    <row r="598" spans="1:11" ht="15" customHeight="1" x14ac:dyDescent="0.2">
      <c r="A598" s="9" t="s">
        <v>1423</v>
      </c>
      <c r="B598" s="9" t="s">
        <v>1570</v>
      </c>
      <c r="C598" s="9" t="s">
        <v>242</v>
      </c>
      <c r="D598" s="9" t="s">
        <v>253</v>
      </c>
      <c r="E598" s="9" t="s">
        <v>262</v>
      </c>
      <c r="F598" s="9" t="s">
        <v>287</v>
      </c>
      <c r="G598" s="10">
        <v>0.4</v>
      </c>
      <c r="H598" s="15">
        <v>67</v>
      </c>
      <c r="I598" s="15">
        <v>33</v>
      </c>
      <c r="J598" s="15">
        <v>33</v>
      </c>
      <c r="K598" s="15">
        <v>102.5</v>
      </c>
    </row>
    <row r="599" spans="1:11" ht="15" customHeight="1" x14ac:dyDescent="0.2">
      <c r="A599" s="9" t="s">
        <v>1424</v>
      </c>
      <c r="B599" s="9" t="s">
        <v>1570</v>
      </c>
      <c r="C599" s="9" t="s">
        <v>243</v>
      </c>
      <c r="D599" s="9" t="s">
        <v>253</v>
      </c>
      <c r="E599" s="9" t="s">
        <v>262</v>
      </c>
      <c r="F599" s="9" t="s">
        <v>287</v>
      </c>
      <c r="G599" s="10">
        <v>0.6</v>
      </c>
      <c r="H599" s="15">
        <v>61</v>
      </c>
      <c r="I599" s="15">
        <v>61</v>
      </c>
      <c r="J599" s="15">
        <v>31</v>
      </c>
      <c r="K599" s="15">
        <v>206.8</v>
      </c>
    </row>
    <row r="600" spans="1:11" ht="15" customHeight="1" x14ac:dyDescent="0.2">
      <c r="A600" s="9" t="s">
        <v>1425</v>
      </c>
      <c r="B600" s="9" t="s">
        <v>1570</v>
      </c>
      <c r="C600" s="9" t="s">
        <v>243</v>
      </c>
      <c r="D600" s="9" t="s">
        <v>253</v>
      </c>
      <c r="E600" s="9" t="s">
        <v>261</v>
      </c>
      <c r="F600" s="9" t="s">
        <v>287</v>
      </c>
      <c r="G600" s="10">
        <v>0</v>
      </c>
      <c r="H600" s="15">
        <v>77</v>
      </c>
      <c r="I600" s="15">
        <v>47</v>
      </c>
      <c r="J600" s="15">
        <v>45</v>
      </c>
      <c r="K600" s="15">
        <v>391.4</v>
      </c>
    </row>
    <row r="601" spans="1:11" ht="15" customHeight="1" x14ac:dyDescent="0.2">
      <c r="A601" s="24" t="s">
        <v>1576</v>
      </c>
      <c r="B601" s="9" t="s">
        <v>1570</v>
      </c>
      <c r="C601" s="9" t="s">
        <v>243</v>
      </c>
      <c r="D601" s="9" t="s">
        <v>253</v>
      </c>
      <c r="E601" s="9" t="s">
        <v>263</v>
      </c>
      <c r="F601" s="9" t="s">
        <v>287</v>
      </c>
      <c r="G601" s="10">
        <v>0.55000000000000004</v>
      </c>
      <c r="H601" s="15">
        <v>73</v>
      </c>
      <c r="I601" s="15">
        <v>54</v>
      </c>
      <c r="J601" s="15">
        <v>34</v>
      </c>
      <c r="K601" s="15">
        <v>417.3</v>
      </c>
    </row>
    <row r="602" spans="1:11" ht="15" customHeight="1" x14ac:dyDescent="0.2">
      <c r="A602" s="9" t="s">
        <v>1426</v>
      </c>
      <c r="B602" s="9" t="s">
        <v>1570</v>
      </c>
      <c r="C602" s="9" t="s">
        <v>243</v>
      </c>
      <c r="D602" s="9" t="s">
        <v>253</v>
      </c>
      <c r="E602" s="9" t="s">
        <v>262</v>
      </c>
      <c r="F602" s="9" t="s">
        <v>287</v>
      </c>
      <c r="G602" s="10">
        <v>0.4</v>
      </c>
      <c r="H602" s="15">
        <v>62</v>
      </c>
      <c r="I602" s="15">
        <v>32</v>
      </c>
      <c r="J602" s="15">
        <v>7</v>
      </c>
      <c r="K602" s="15">
        <v>30</v>
      </c>
    </row>
    <row r="603" spans="1:11" ht="15" customHeight="1" x14ac:dyDescent="0.2">
      <c r="A603" s="9" t="s">
        <v>1427</v>
      </c>
      <c r="B603" s="9" t="s">
        <v>1570</v>
      </c>
      <c r="C603" s="9" t="s">
        <v>243</v>
      </c>
      <c r="D603" s="9" t="s">
        <v>253</v>
      </c>
      <c r="E603" s="9" t="s">
        <v>262</v>
      </c>
      <c r="F603" s="9" t="s">
        <v>287</v>
      </c>
      <c r="G603" s="10">
        <v>0.7</v>
      </c>
      <c r="H603" s="15">
        <v>79</v>
      </c>
      <c r="I603" s="15">
        <v>47</v>
      </c>
      <c r="J603" s="15">
        <v>32</v>
      </c>
      <c r="K603" s="15">
        <v>224.1</v>
      </c>
    </row>
    <row r="604" spans="1:11" ht="15" customHeight="1" x14ac:dyDescent="0.2">
      <c r="A604" s="9" t="s">
        <v>1428</v>
      </c>
      <c r="B604" s="9" t="s">
        <v>1570</v>
      </c>
      <c r="C604" s="9" t="s">
        <v>243</v>
      </c>
      <c r="D604" s="9" t="s">
        <v>253</v>
      </c>
      <c r="E604" s="9" t="s">
        <v>262</v>
      </c>
      <c r="F604" s="9" t="s">
        <v>287</v>
      </c>
      <c r="G604" s="10">
        <v>0.3</v>
      </c>
      <c r="H604" s="15">
        <v>42</v>
      </c>
      <c r="I604" s="15">
        <v>30</v>
      </c>
      <c r="J604" s="15">
        <v>11</v>
      </c>
      <c r="K604" s="15">
        <v>28.8</v>
      </c>
    </row>
    <row r="605" spans="1:11" ht="15" customHeight="1" x14ac:dyDescent="0.2">
      <c r="A605" s="9" t="s">
        <v>1032</v>
      </c>
      <c r="B605" s="9" t="s">
        <v>1570</v>
      </c>
      <c r="C605" s="9" t="s">
        <v>243</v>
      </c>
      <c r="D605" s="9" t="s">
        <v>253</v>
      </c>
      <c r="E605" s="9" t="s">
        <v>261</v>
      </c>
      <c r="F605" s="9" t="s">
        <v>287</v>
      </c>
      <c r="G605" s="10">
        <v>0.4</v>
      </c>
      <c r="H605" s="15">
        <v>64</v>
      </c>
      <c r="I605" s="15">
        <v>35</v>
      </c>
      <c r="J605" s="15">
        <v>23</v>
      </c>
      <c r="K605" s="15">
        <v>141.9</v>
      </c>
    </row>
    <row r="606" spans="1:11" ht="15" customHeight="1" x14ac:dyDescent="0.2">
      <c r="A606" s="9" t="s">
        <v>1429</v>
      </c>
      <c r="B606" s="9" t="s">
        <v>1570</v>
      </c>
      <c r="C606" s="9" t="s">
        <v>243</v>
      </c>
      <c r="D606" s="9" t="s">
        <v>253</v>
      </c>
      <c r="E606" s="9" t="s">
        <v>262</v>
      </c>
      <c r="F606" s="9" t="s">
        <v>287</v>
      </c>
      <c r="G606" s="10">
        <v>0.6</v>
      </c>
      <c r="H606" s="15">
        <v>66</v>
      </c>
      <c r="I606" s="15">
        <v>34</v>
      </c>
      <c r="J606" s="15">
        <v>26</v>
      </c>
      <c r="K606" s="15">
        <v>111.7</v>
      </c>
    </row>
    <row r="607" spans="1:11" ht="15" customHeight="1" x14ac:dyDescent="0.2">
      <c r="A607" s="9" t="s">
        <v>1430</v>
      </c>
      <c r="B607" s="9" t="s">
        <v>1570</v>
      </c>
      <c r="C607" s="9" t="s">
        <v>243</v>
      </c>
      <c r="D607" s="9" t="s">
        <v>253</v>
      </c>
      <c r="E607" s="9" t="s">
        <v>261</v>
      </c>
      <c r="F607" s="9" t="s">
        <v>287</v>
      </c>
      <c r="G607" s="10">
        <v>0.6</v>
      </c>
      <c r="H607" s="15">
        <v>49</v>
      </c>
      <c r="I607" s="15">
        <v>34</v>
      </c>
      <c r="J607" s="15">
        <v>15</v>
      </c>
      <c r="K607" s="15">
        <v>46.5</v>
      </c>
    </row>
    <row r="608" spans="1:11" ht="15" customHeight="1" x14ac:dyDescent="0.2">
      <c r="A608" s="9" t="s">
        <v>1431</v>
      </c>
      <c r="B608" s="9" t="s">
        <v>1570</v>
      </c>
      <c r="C608" s="9" t="s">
        <v>243</v>
      </c>
      <c r="D608" s="9" t="s">
        <v>253</v>
      </c>
      <c r="E608" s="9" t="s">
        <v>261</v>
      </c>
      <c r="F608" s="9" t="s">
        <v>287</v>
      </c>
      <c r="G608" s="10">
        <v>0.5</v>
      </c>
      <c r="H608" s="15">
        <v>69</v>
      </c>
      <c r="I608" s="15">
        <v>48</v>
      </c>
      <c r="J608" s="15">
        <v>19</v>
      </c>
      <c r="K608" s="15">
        <v>124</v>
      </c>
    </row>
    <row r="609" spans="1:11" ht="15" customHeight="1" x14ac:dyDescent="0.2">
      <c r="A609" s="9" t="s">
        <v>1432</v>
      </c>
      <c r="B609" s="9" t="s">
        <v>1570</v>
      </c>
      <c r="C609" s="9" t="s">
        <v>243</v>
      </c>
      <c r="D609" s="9" t="s">
        <v>253</v>
      </c>
      <c r="E609" s="9" t="s">
        <v>261</v>
      </c>
      <c r="F609" s="9" t="s">
        <v>287</v>
      </c>
      <c r="G609" s="10">
        <v>0.1</v>
      </c>
      <c r="H609" s="15">
        <v>58</v>
      </c>
      <c r="I609" s="15">
        <v>46</v>
      </c>
      <c r="J609" s="15">
        <v>30</v>
      </c>
      <c r="K609" s="15">
        <v>228.8</v>
      </c>
    </row>
    <row r="610" spans="1:11" ht="15" customHeight="1" x14ac:dyDescent="0.2">
      <c r="A610" s="9" t="s">
        <v>1433</v>
      </c>
      <c r="B610" s="9" t="s">
        <v>1570</v>
      </c>
      <c r="C610" s="9" t="s">
        <v>243</v>
      </c>
      <c r="D610" s="9" t="s">
        <v>253</v>
      </c>
      <c r="E610" s="9" t="s">
        <v>261</v>
      </c>
      <c r="F610" s="9" t="s">
        <v>287</v>
      </c>
      <c r="G610" s="10">
        <v>0.3</v>
      </c>
      <c r="H610" s="15">
        <v>48</v>
      </c>
      <c r="I610" s="15">
        <v>35</v>
      </c>
      <c r="J610" s="15">
        <v>19</v>
      </c>
      <c r="K610" s="15">
        <v>70.2</v>
      </c>
    </row>
    <row r="611" spans="1:11" ht="15" customHeight="1" x14ac:dyDescent="0.2">
      <c r="A611" s="9" t="s">
        <v>1434</v>
      </c>
      <c r="B611" s="9" t="s">
        <v>1570</v>
      </c>
      <c r="C611" s="9" t="s">
        <v>243</v>
      </c>
      <c r="D611" s="9" t="s">
        <v>253</v>
      </c>
      <c r="E611" s="9" t="s">
        <v>262</v>
      </c>
      <c r="F611" s="9" t="s">
        <v>287</v>
      </c>
      <c r="G611" s="10">
        <v>0.35</v>
      </c>
      <c r="H611" s="15">
        <v>89</v>
      </c>
      <c r="I611" s="15">
        <v>57</v>
      </c>
      <c r="J611" s="15">
        <v>41</v>
      </c>
      <c r="K611" s="15">
        <v>599.1</v>
      </c>
    </row>
    <row r="612" spans="1:11" ht="15" customHeight="1" x14ac:dyDescent="0.2">
      <c r="A612" s="9" t="s">
        <v>1435</v>
      </c>
      <c r="B612" s="9" t="s">
        <v>1570</v>
      </c>
      <c r="C612" s="9" t="s">
        <v>243</v>
      </c>
      <c r="D612" s="9" t="s">
        <v>253</v>
      </c>
      <c r="E612" s="9" t="s">
        <v>262</v>
      </c>
      <c r="F612" s="9" t="s">
        <v>287</v>
      </c>
      <c r="G612" s="10">
        <v>0.3</v>
      </c>
      <c r="H612" s="15">
        <v>34</v>
      </c>
      <c r="I612" s="15">
        <v>27</v>
      </c>
      <c r="J612" s="15">
        <v>15</v>
      </c>
      <c r="K612" s="15">
        <v>31.4</v>
      </c>
    </row>
    <row r="613" spans="1:11" ht="15" customHeight="1" x14ac:dyDescent="0.2">
      <c r="A613" s="9" t="s">
        <v>1436</v>
      </c>
      <c r="B613" s="9" t="s">
        <v>1570</v>
      </c>
      <c r="C613" s="9" t="s">
        <v>243</v>
      </c>
      <c r="D613" s="9" t="s">
        <v>253</v>
      </c>
      <c r="E613" s="9" t="s">
        <v>262</v>
      </c>
      <c r="F613" s="9" t="s">
        <v>287</v>
      </c>
      <c r="G613" s="10">
        <v>0.6</v>
      </c>
      <c r="H613" s="15">
        <v>70</v>
      </c>
      <c r="I613" s="15">
        <v>42</v>
      </c>
      <c r="J613" s="15">
        <v>20</v>
      </c>
      <c r="K613" s="15">
        <v>120.8</v>
      </c>
    </row>
    <row r="614" spans="1:11" ht="15" customHeight="1" x14ac:dyDescent="0.2">
      <c r="A614" s="9" t="s">
        <v>1437</v>
      </c>
      <c r="B614" s="9" t="s">
        <v>1570</v>
      </c>
      <c r="C614" s="9" t="s">
        <v>243</v>
      </c>
      <c r="D614" s="9" t="s">
        <v>253</v>
      </c>
      <c r="E614" s="9" t="s">
        <v>261</v>
      </c>
      <c r="F614" s="9" t="s">
        <v>287</v>
      </c>
      <c r="G614" s="10">
        <v>0.6</v>
      </c>
      <c r="H614" s="15">
        <v>65</v>
      </c>
      <c r="I614" s="15">
        <v>43</v>
      </c>
      <c r="J614" s="15">
        <v>26</v>
      </c>
      <c r="K614" s="15">
        <v>148.19999999999999</v>
      </c>
    </row>
    <row r="615" spans="1:11" ht="15" customHeight="1" x14ac:dyDescent="0.2">
      <c r="A615" s="9" t="s">
        <v>1438</v>
      </c>
      <c r="B615" s="9" t="s">
        <v>1570</v>
      </c>
      <c r="C615" s="9" t="s">
        <v>243</v>
      </c>
      <c r="D615" s="9" t="s">
        <v>253</v>
      </c>
      <c r="E615" s="9" t="s">
        <v>261</v>
      </c>
      <c r="F615" s="9" t="s">
        <v>287</v>
      </c>
      <c r="G615" s="10">
        <v>0.4</v>
      </c>
      <c r="H615" s="15">
        <v>74</v>
      </c>
      <c r="I615" s="15">
        <v>47</v>
      </c>
      <c r="J615" s="15">
        <v>38</v>
      </c>
      <c r="K615" s="15">
        <v>214.5</v>
      </c>
    </row>
    <row r="616" spans="1:11" ht="15" customHeight="1" x14ac:dyDescent="0.2">
      <c r="A616" s="9" t="s">
        <v>1439</v>
      </c>
      <c r="B616" s="9" t="s">
        <v>1570</v>
      </c>
      <c r="C616" s="9" t="s">
        <v>243</v>
      </c>
      <c r="D616" s="9" t="s">
        <v>253</v>
      </c>
      <c r="E616" s="9" t="s">
        <v>262</v>
      </c>
      <c r="F616" s="9" t="s">
        <v>287</v>
      </c>
      <c r="G616" s="10">
        <v>0.1</v>
      </c>
      <c r="H616" s="15">
        <v>79</v>
      </c>
      <c r="I616" s="15">
        <v>63</v>
      </c>
      <c r="J616" s="15">
        <v>36</v>
      </c>
      <c r="K616" s="15">
        <v>682.9</v>
      </c>
    </row>
    <row r="617" spans="1:11" ht="15" customHeight="1" x14ac:dyDescent="0.2">
      <c r="A617" s="9" t="s">
        <v>1440</v>
      </c>
      <c r="B617" s="9" t="s">
        <v>1570</v>
      </c>
      <c r="C617" s="9" t="s">
        <v>243</v>
      </c>
      <c r="D617" s="9" t="s">
        <v>253</v>
      </c>
      <c r="E617" s="9" t="s">
        <v>263</v>
      </c>
      <c r="F617" s="9" t="s">
        <v>287</v>
      </c>
      <c r="G617" s="10">
        <v>0.35</v>
      </c>
      <c r="H617" s="15">
        <v>39</v>
      </c>
      <c r="I617" s="15">
        <v>44</v>
      </c>
      <c r="J617" s="15">
        <v>27</v>
      </c>
      <c r="K617" s="15">
        <v>98.2</v>
      </c>
    </row>
    <row r="618" spans="1:11" ht="15" customHeight="1" x14ac:dyDescent="0.2">
      <c r="A618" s="9" t="s">
        <v>1271</v>
      </c>
      <c r="B618" s="9" t="s">
        <v>1570</v>
      </c>
      <c r="C618" s="9" t="s">
        <v>243</v>
      </c>
      <c r="D618" s="9" t="s">
        <v>253</v>
      </c>
      <c r="E618" s="9" t="s">
        <v>261</v>
      </c>
      <c r="F618" s="9" t="s">
        <v>287</v>
      </c>
      <c r="G618" s="10">
        <v>0.5</v>
      </c>
      <c r="H618" s="15">
        <v>69</v>
      </c>
      <c r="I618" s="15">
        <v>41</v>
      </c>
      <c r="J618" s="15">
        <v>19</v>
      </c>
      <c r="K618" s="15">
        <v>111.9</v>
      </c>
    </row>
    <row r="619" spans="1:11" ht="15" customHeight="1" x14ac:dyDescent="0.2">
      <c r="A619" s="9" t="s">
        <v>1441</v>
      </c>
      <c r="B619" s="9" t="s">
        <v>1570</v>
      </c>
      <c r="C619" s="9" t="s">
        <v>243</v>
      </c>
      <c r="D619" s="9" t="s">
        <v>253</v>
      </c>
      <c r="E619" s="9" t="s">
        <v>261</v>
      </c>
      <c r="F619" s="9" t="s">
        <v>287</v>
      </c>
      <c r="G619" s="10">
        <v>0.1</v>
      </c>
      <c r="H619" s="15">
        <v>81</v>
      </c>
      <c r="I619" s="15">
        <v>57</v>
      </c>
      <c r="J619" s="15">
        <v>19</v>
      </c>
      <c r="K619" s="15">
        <v>335.1</v>
      </c>
    </row>
    <row r="620" spans="1:11" ht="15" customHeight="1" x14ac:dyDescent="0.2">
      <c r="A620" s="9" t="s">
        <v>1442</v>
      </c>
      <c r="B620" s="9" t="s">
        <v>1570</v>
      </c>
      <c r="C620" s="9" t="s">
        <v>243</v>
      </c>
      <c r="D620" s="9" t="s">
        <v>253</v>
      </c>
      <c r="E620" s="9" t="s">
        <v>263</v>
      </c>
      <c r="F620" s="9" t="s">
        <v>287</v>
      </c>
      <c r="G620" s="10">
        <v>0.4</v>
      </c>
      <c r="H620" s="15">
        <v>97</v>
      </c>
      <c r="I620" s="15">
        <v>73</v>
      </c>
      <c r="J620" s="15">
        <v>45</v>
      </c>
      <c r="K620" s="15">
        <v>722.9</v>
      </c>
    </row>
    <row r="621" spans="1:11" ht="15" customHeight="1" x14ac:dyDescent="0.2">
      <c r="A621" s="9" t="s">
        <v>1443</v>
      </c>
      <c r="B621" s="9" t="s">
        <v>1570</v>
      </c>
      <c r="C621" s="9" t="s">
        <v>243</v>
      </c>
      <c r="D621" s="9" t="s">
        <v>253</v>
      </c>
      <c r="E621" s="9" t="s">
        <v>261</v>
      </c>
      <c r="F621" s="9" t="s">
        <v>287</v>
      </c>
      <c r="G621" s="10">
        <v>0.4</v>
      </c>
      <c r="H621" s="15">
        <v>83</v>
      </c>
      <c r="I621" s="15">
        <v>56</v>
      </c>
      <c r="J621" s="15">
        <v>37</v>
      </c>
      <c r="K621" s="15">
        <v>323</v>
      </c>
    </row>
    <row r="622" spans="1:11" ht="15" customHeight="1" x14ac:dyDescent="0.2">
      <c r="A622" s="9" t="s">
        <v>1444</v>
      </c>
      <c r="B622" s="9" t="s">
        <v>1570</v>
      </c>
      <c r="C622" s="9" t="s">
        <v>243</v>
      </c>
      <c r="D622" s="9" t="s">
        <v>253</v>
      </c>
      <c r="E622" s="9" t="s">
        <v>260</v>
      </c>
      <c r="F622" s="9" t="s">
        <v>287</v>
      </c>
      <c r="G622" s="10">
        <v>0.6</v>
      </c>
      <c r="H622" s="15">
        <v>67</v>
      </c>
      <c r="I622" s="15">
        <v>54</v>
      </c>
      <c r="J622" s="15">
        <v>47</v>
      </c>
      <c r="K622" s="15">
        <v>338.6</v>
      </c>
    </row>
    <row r="623" spans="1:11" ht="15" customHeight="1" x14ac:dyDescent="0.2">
      <c r="A623" s="9" t="s">
        <v>1445</v>
      </c>
      <c r="B623" s="9" t="s">
        <v>1570</v>
      </c>
      <c r="C623" s="9" t="s">
        <v>243</v>
      </c>
      <c r="D623" s="9" t="s">
        <v>253</v>
      </c>
      <c r="E623" s="9" t="s">
        <v>262</v>
      </c>
      <c r="F623" s="9" t="s">
        <v>287</v>
      </c>
      <c r="G623" s="10">
        <v>0</v>
      </c>
      <c r="H623" s="15">
        <v>58</v>
      </c>
      <c r="I623" s="15">
        <v>33</v>
      </c>
      <c r="J623" s="15">
        <v>34</v>
      </c>
      <c r="K623" s="15">
        <v>172</v>
      </c>
    </row>
    <row r="624" spans="1:11" ht="15" customHeight="1" x14ac:dyDescent="0.2">
      <c r="A624" s="9" t="s">
        <v>1446</v>
      </c>
      <c r="B624" s="9" t="s">
        <v>1570</v>
      </c>
      <c r="C624" s="9" t="s">
        <v>243</v>
      </c>
      <c r="D624" s="9" t="s">
        <v>253</v>
      </c>
      <c r="E624" s="9" t="s">
        <v>261</v>
      </c>
      <c r="F624" s="9" t="s">
        <v>287</v>
      </c>
      <c r="G624" s="10">
        <v>0.5</v>
      </c>
      <c r="H624" s="15">
        <v>70</v>
      </c>
      <c r="I624" s="15">
        <v>68</v>
      </c>
      <c r="J624" s="15">
        <v>46</v>
      </c>
      <c r="K624" s="15">
        <v>480.5</v>
      </c>
    </row>
    <row r="625" spans="1:11" ht="15" customHeight="1" x14ac:dyDescent="0.2">
      <c r="A625" s="9" t="s">
        <v>421</v>
      </c>
      <c r="B625" s="9" t="s">
        <v>1571</v>
      </c>
      <c r="C625" s="9" t="s">
        <v>244</v>
      </c>
      <c r="D625" s="9" t="s">
        <v>251</v>
      </c>
      <c r="E625" s="9" t="s">
        <v>261</v>
      </c>
      <c r="F625" s="9" t="s">
        <v>287</v>
      </c>
      <c r="G625" s="10">
        <v>0.4</v>
      </c>
      <c r="H625" s="15">
        <v>65</v>
      </c>
      <c r="I625" s="15">
        <v>42</v>
      </c>
      <c r="J625" s="15">
        <v>37</v>
      </c>
      <c r="K625" s="15">
        <v>132.69999999999999</v>
      </c>
    </row>
    <row r="626" spans="1:11" ht="15" customHeight="1" x14ac:dyDescent="0.2">
      <c r="A626" s="9" t="s">
        <v>422</v>
      </c>
      <c r="B626" s="9" t="s">
        <v>1571</v>
      </c>
      <c r="C626" s="9" t="s">
        <v>244</v>
      </c>
      <c r="D626" s="9" t="s">
        <v>251</v>
      </c>
      <c r="E626" s="9" t="s">
        <v>261</v>
      </c>
      <c r="F626" s="9" t="s">
        <v>287</v>
      </c>
      <c r="G626" s="10">
        <v>0.7</v>
      </c>
      <c r="H626" s="15">
        <v>55</v>
      </c>
      <c r="I626" s="15">
        <v>45</v>
      </c>
      <c r="J626" s="15">
        <v>20</v>
      </c>
      <c r="K626" s="15">
        <v>69.400000000000006</v>
      </c>
    </row>
    <row r="627" spans="1:11" ht="15" customHeight="1" x14ac:dyDescent="0.2">
      <c r="A627" s="9" t="s">
        <v>423</v>
      </c>
      <c r="B627" s="9" t="s">
        <v>1571</v>
      </c>
      <c r="C627" s="9" t="s">
        <v>244</v>
      </c>
      <c r="D627" s="9" t="s">
        <v>251</v>
      </c>
      <c r="E627" s="9" t="s">
        <v>263</v>
      </c>
      <c r="F627" s="9" t="s">
        <v>287</v>
      </c>
      <c r="G627" s="10">
        <v>0.35</v>
      </c>
      <c r="H627" s="15">
        <v>52</v>
      </c>
      <c r="I627" s="15">
        <v>44</v>
      </c>
      <c r="J627" s="15">
        <v>44</v>
      </c>
      <c r="K627" s="15">
        <v>177.6</v>
      </c>
    </row>
    <row r="628" spans="1:11" ht="15" customHeight="1" x14ac:dyDescent="0.2">
      <c r="A628" s="9" t="s">
        <v>424</v>
      </c>
      <c r="B628" s="9" t="s">
        <v>1571</v>
      </c>
      <c r="C628" s="9" t="s">
        <v>244</v>
      </c>
      <c r="D628" s="9" t="s">
        <v>251</v>
      </c>
      <c r="E628" s="9" t="s">
        <v>260</v>
      </c>
      <c r="F628" s="9" t="s">
        <v>287</v>
      </c>
      <c r="G628" s="10">
        <v>0.15</v>
      </c>
      <c r="H628" s="15">
        <v>58</v>
      </c>
      <c r="I628" s="15">
        <v>49</v>
      </c>
      <c r="J628" s="15">
        <v>22</v>
      </c>
      <c r="K628" s="15">
        <v>46.4</v>
      </c>
    </row>
    <row r="629" spans="1:11" ht="15" customHeight="1" x14ac:dyDescent="0.2">
      <c r="A629" s="9" t="s">
        <v>425</v>
      </c>
      <c r="B629" s="9" t="s">
        <v>1571</v>
      </c>
      <c r="C629" s="9" t="s">
        <v>244</v>
      </c>
      <c r="D629" s="9" t="s">
        <v>251</v>
      </c>
      <c r="E629" s="9" t="s">
        <v>261</v>
      </c>
      <c r="F629" s="9" t="s">
        <v>287</v>
      </c>
      <c r="G629" s="10">
        <v>0.7</v>
      </c>
      <c r="H629" s="15">
        <v>81</v>
      </c>
      <c r="I629" s="15">
        <v>50</v>
      </c>
      <c r="J629" s="15">
        <v>38</v>
      </c>
      <c r="K629" s="15">
        <v>199.9</v>
      </c>
    </row>
    <row r="630" spans="1:11" ht="15" customHeight="1" x14ac:dyDescent="0.2">
      <c r="A630" s="9" t="s">
        <v>426</v>
      </c>
      <c r="B630" s="9" t="s">
        <v>1571</v>
      </c>
      <c r="C630" s="9" t="s">
        <v>244</v>
      </c>
      <c r="D630" s="9" t="s">
        <v>253</v>
      </c>
      <c r="E630" s="9" t="s">
        <v>262</v>
      </c>
      <c r="F630" s="9" t="s">
        <v>287</v>
      </c>
      <c r="G630" s="10">
        <v>0.35</v>
      </c>
      <c r="H630" s="15">
        <v>96</v>
      </c>
      <c r="I630" s="15">
        <v>52</v>
      </c>
      <c r="J630" s="15">
        <v>33</v>
      </c>
      <c r="K630" s="15">
        <v>122.1</v>
      </c>
    </row>
    <row r="631" spans="1:11" ht="15" customHeight="1" x14ac:dyDescent="0.2">
      <c r="A631" s="9" t="s">
        <v>427</v>
      </c>
      <c r="B631" s="9" t="s">
        <v>1571</v>
      </c>
      <c r="C631" s="9" t="s">
        <v>244</v>
      </c>
      <c r="D631" s="9" t="s">
        <v>251</v>
      </c>
      <c r="E631" s="9" t="s">
        <v>262</v>
      </c>
      <c r="F631" s="9" t="s">
        <v>287</v>
      </c>
      <c r="G631" s="10">
        <v>0.6</v>
      </c>
      <c r="H631" s="15">
        <v>51</v>
      </c>
      <c r="I631" s="15">
        <v>50</v>
      </c>
      <c r="J631" s="15">
        <v>36</v>
      </c>
      <c r="K631" s="15">
        <v>156.6</v>
      </c>
    </row>
    <row r="632" spans="1:11" ht="15" customHeight="1" x14ac:dyDescent="0.2">
      <c r="A632" s="9" t="s">
        <v>428</v>
      </c>
      <c r="B632" s="9" t="s">
        <v>1571</v>
      </c>
      <c r="C632" s="9" t="s">
        <v>244</v>
      </c>
      <c r="D632" s="9" t="s">
        <v>251</v>
      </c>
      <c r="E632" s="9" t="s">
        <v>262</v>
      </c>
      <c r="F632" s="9" t="s">
        <v>287</v>
      </c>
      <c r="G632" s="10">
        <v>0.6</v>
      </c>
      <c r="H632" s="15">
        <v>40</v>
      </c>
      <c r="I632" s="15">
        <v>38</v>
      </c>
      <c r="J632" s="15">
        <v>32</v>
      </c>
      <c r="K632" s="15">
        <v>65.3</v>
      </c>
    </row>
    <row r="633" spans="1:11" ht="15" customHeight="1" x14ac:dyDescent="0.2">
      <c r="A633" s="9" t="s">
        <v>632</v>
      </c>
      <c r="B633" s="9" t="s">
        <v>1571</v>
      </c>
      <c r="C633" s="9" t="s">
        <v>244</v>
      </c>
      <c r="D633" s="9" t="s">
        <v>251</v>
      </c>
      <c r="E633" s="9" t="s">
        <v>261</v>
      </c>
      <c r="F633" s="9" t="s">
        <v>287</v>
      </c>
      <c r="G633" s="10">
        <v>0</v>
      </c>
      <c r="H633" s="15">
        <v>83</v>
      </c>
      <c r="I633" s="15">
        <v>44</v>
      </c>
      <c r="J633" s="15">
        <v>37</v>
      </c>
      <c r="K633" s="15">
        <v>156.80000000000001</v>
      </c>
    </row>
    <row r="634" spans="1:11" ht="15" customHeight="1" x14ac:dyDescent="0.2">
      <c r="A634" s="9" t="s">
        <v>633</v>
      </c>
      <c r="B634" s="9" t="s">
        <v>1571</v>
      </c>
      <c r="C634" s="9" t="s">
        <v>244</v>
      </c>
      <c r="D634" s="9" t="s">
        <v>258</v>
      </c>
      <c r="E634" s="9" t="s">
        <v>262</v>
      </c>
      <c r="F634" s="9" t="s">
        <v>287</v>
      </c>
      <c r="G634" s="10">
        <v>0.35</v>
      </c>
      <c r="H634" s="15">
        <v>61</v>
      </c>
      <c r="I634" s="15">
        <v>43</v>
      </c>
      <c r="J634" s="15">
        <v>30</v>
      </c>
      <c r="K634" s="15">
        <v>78.2</v>
      </c>
    </row>
    <row r="635" spans="1:11" ht="15" customHeight="1" x14ac:dyDescent="0.2">
      <c r="A635" s="9" t="s">
        <v>123</v>
      </c>
      <c r="B635" s="9" t="s">
        <v>1571</v>
      </c>
      <c r="C635" s="9" t="s">
        <v>244</v>
      </c>
      <c r="D635" s="9" t="s">
        <v>751</v>
      </c>
      <c r="E635" s="9" t="s">
        <v>262</v>
      </c>
      <c r="F635" s="9" t="s">
        <v>287</v>
      </c>
      <c r="G635" s="10">
        <v>0.55000000000000004</v>
      </c>
      <c r="H635" s="15">
        <v>100</v>
      </c>
      <c r="I635" s="15">
        <v>77</v>
      </c>
      <c r="J635" s="15">
        <v>44</v>
      </c>
      <c r="K635" s="15">
        <v>410.6</v>
      </c>
    </row>
    <row r="636" spans="1:11" ht="15" customHeight="1" x14ac:dyDescent="0.2">
      <c r="A636" s="9" t="s">
        <v>1447</v>
      </c>
      <c r="B636" s="9" t="s">
        <v>1571</v>
      </c>
      <c r="C636" s="9" t="s">
        <v>244</v>
      </c>
      <c r="D636" s="9" t="s">
        <v>253</v>
      </c>
      <c r="E636" s="9" t="s">
        <v>261</v>
      </c>
      <c r="F636" s="9" t="s">
        <v>287</v>
      </c>
      <c r="G636" s="10">
        <v>0.4</v>
      </c>
      <c r="H636" s="15">
        <v>67</v>
      </c>
      <c r="I636" s="15">
        <v>50</v>
      </c>
      <c r="J636" s="15">
        <v>29</v>
      </c>
      <c r="K636" s="15">
        <v>161.19999999999999</v>
      </c>
    </row>
    <row r="637" spans="1:11" ht="15" customHeight="1" x14ac:dyDescent="0.2">
      <c r="A637" s="9" t="s">
        <v>1448</v>
      </c>
      <c r="B637" s="9" t="s">
        <v>1571</v>
      </c>
      <c r="C637" s="9" t="s">
        <v>244</v>
      </c>
      <c r="D637" s="9" t="s">
        <v>253</v>
      </c>
      <c r="E637" s="9" t="s">
        <v>261</v>
      </c>
      <c r="F637" s="9" t="s">
        <v>287</v>
      </c>
      <c r="G637" s="10">
        <v>0.55000000000000004</v>
      </c>
      <c r="H637" s="15">
        <v>55</v>
      </c>
      <c r="I637" s="15">
        <v>41</v>
      </c>
      <c r="J637" s="15">
        <v>41</v>
      </c>
      <c r="K637" s="15">
        <v>234.5</v>
      </c>
    </row>
    <row r="638" spans="1:11" ht="15" customHeight="1" x14ac:dyDescent="0.2">
      <c r="A638" s="9" t="s">
        <v>1449</v>
      </c>
      <c r="B638" s="9" t="s">
        <v>1571</v>
      </c>
      <c r="C638" s="9" t="s">
        <v>244</v>
      </c>
      <c r="D638" s="9" t="s">
        <v>253</v>
      </c>
      <c r="E638" s="9" t="s">
        <v>260</v>
      </c>
      <c r="F638" s="9" t="s">
        <v>287</v>
      </c>
      <c r="G638" s="10">
        <v>0.6</v>
      </c>
      <c r="H638" s="15">
        <v>73</v>
      </c>
      <c r="I638" s="15">
        <v>45</v>
      </c>
      <c r="J638" s="15">
        <v>27</v>
      </c>
      <c r="K638" s="15">
        <v>169.1</v>
      </c>
    </row>
    <row r="639" spans="1:11" ht="15" customHeight="1" x14ac:dyDescent="0.2">
      <c r="A639" s="9" t="s">
        <v>208</v>
      </c>
      <c r="B639" s="9" t="s">
        <v>1571</v>
      </c>
      <c r="C639" s="9" t="s">
        <v>244</v>
      </c>
      <c r="D639" s="9" t="s">
        <v>253</v>
      </c>
      <c r="E639" s="9" t="s">
        <v>708</v>
      </c>
      <c r="F639" s="9" t="s">
        <v>287</v>
      </c>
      <c r="G639" s="10">
        <v>0.65</v>
      </c>
      <c r="H639" s="15">
        <v>63</v>
      </c>
      <c r="I639" s="15">
        <v>40</v>
      </c>
      <c r="J639" s="15">
        <v>26</v>
      </c>
      <c r="K639" s="15">
        <v>197.4</v>
      </c>
    </row>
    <row r="640" spans="1:11" ht="15" customHeight="1" x14ac:dyDescent="0.2">
      <c r="A640" s="9" t="s">
        <v>1450</v>
      </c>
      <c r="B640" s="9" t="s">
        <v>1571</v>
      </c>
      <c r="C640" s="9" t="s">
        <v>244</v>
      </c>
      <c r="D640" s="9" t="s">
        <v>253</v>
      </c>
      <c r="E640" s="9" t="s">
        <v>262</v>
      </c>
      <c r="F640" s="9" t="s">
        <v>287</v>
      </c>
      <c r="G640" s="10">
        <v>0.5</v>
      </c>
      <c r="H640" s="15">
        <v>64</v>
      </c>
      <c r="I640" s="15">
        <v>37</v>
      </c>
      <c r="J640" s="15">
        <v>19</v>
      </c>
      <c r="K640" s="15">
        <v>117.5</v>
      </c>
    </row>
    <row r="641" spans="1:11" ht="15" customHeight="1" x14ac:dyDescent="0.2">
      <c r="A641" s="9" t="s">
        <v>1451</v>
      </c>
      <c r="B641" s="9" t="s">
        <v>1571</v>
      </c>
      <c r="C641" s="9" t="s">
        <v>244</v>
      </c>
      <c r="D641" s="9" t="s">
        <v>253</v>
      </c>
      <c r="E641" s="9" t="s">
        <v>260</v>
      </c>
      <c r="F641" s="9" t="s">
        <v>287</v>
      </c>
      <c r="G641" s="10">
        <v>0.8</v>
      </c>
      <c r="H641" s="15">
        <v>57</v>
      </c>
      <c r="I641" s="15">
        <v>34</v>
      </c>
      <c r="J641" s="15">
        <v>32</v>
      </c>
      <c r="K641" s="15">
        <v>123</v>
      </c>
    </row>
    <row r="642" spans="1:11" ht="15" customHeight="1" x14ac:dyDescent="0.2">
      <c r="A642" s="9" t="s">
        <v>429</v>
      </c>
      <c r="B642" s="9" t="s">
        <v>1572</v>
      </c>
      <c r="C642" s="9" t="s">
        <v>245</v>
      </c>
      <c r="D642" s="9" t="s">
        <v>253</v>
      </c>
      <c r="E642" s="9" t="s">
        <v>262</v>
      </c>
      <c r="F642" s="9" t="s">
        <v>287</v>
      </c>
      <c r="G642" s="10">
        <v>0.6</v>
      </c>
      <c r="H642" s="15">
        <v>57</v>
      </c>
      <c r="I642" s="15">
        <v>55</v>
      </c>
      <c r="J642" s="15">
        <v>45</v>
      </c>
      <c r="K642" s="15">
        <v>139.1</v>
      </c>
    </row>
    <row r="643" spans="1:11" ht="15" customHeight="1" x14ac:dyDescent="0.2">
      <c r="A643" s="9" t="s">
        <v>430</v>
      </c>
      <c r="B643" s="9" t="s">
        <v>1572</v>
      </c>
      <c r="C643" s="9" t="s">
        <v>245</v>
      </c>
      <c r="D643" s="9" t="s">
        <v>255</v>
      </c>
      <c r="E643" s="9" t="s">
        <v>262</v>
      </c>
      <c r="F643" s="9" t="s">
        <v>287</v>
      </c>
      <c r="G643" s="10">
        <v>0.4</v>
      </c>
      <c r="H643" s="15">
        <v>126</v>
      </c>
      <c r="I643" s="15">
        <v>87</v>
      </c>
      <c r="J643" s="15">
        <v>73</v>
      </c>
      <c r="K643" s="15">
        <v>939.8</v>
      </c>
    </row>
    <row r="644" spans="1:11" ht="15" customHeight="1" x14ac:dyDescent="0.2">
      <c r="A644" s="9" t="s">
        <v>431</v>
      </c>
      <c r="B644" s="9" t="s">
        <v>1572</v>
      </c>
      <c r="C644" s="9" t="s">
        <v>245</v>
      </c>
      <c r="D644" s="9" t="s">
        <v>251</v>
      </c>
      <c r="E644" s="9" t="s">
        <v>261</v>
      </c>
      <c r="F644" s="9" t="s">
        <v>287</v>
      </c>
      <c r="G644" s="10">
        <v>0.7</v>
      </c>
      <c r="H644" s="15">
        <v>58</v>
      </c>
      <c r="I644" s="15">
        <v>56</v>
      </c>
      <c r="J644" s="15">
        <v>30</v>
      </c>
      <c r="K644" s="15">
        <v>152.19999999999999</v>
      </c>
    </row>
    <row r="645" spans="1:11" ht="15" customHeight="1" x14ac:dyDescent="0.2">
      <c r="A645" s="9" t="s">
        <v>432</v>
      </c>
      <c r="B645" s="9" t="s">
        <v>1572</v>
      </c>
      <c r="C645" s="9" t="s">
        <v>245</v>
      </c>
      <c r="D645" s="9" t="s">
        <v>251</v>
      </c>
      <c r="E645" s="9" t="s">
        <v>262</v>
      </c>
      <c r="F645" s="9" t="s">
        <v>287</v>
      </c>
      <c r="G645" s="10">
        <v>0.35</v>
      </c>
      <c r="H645" s="15">
        <v>58</v>
      </c>
      <c r="I645" s="15">
        <v>40</v>
      </c>
      <c r="J645" s="15">
        <v>36</v>
      </c>
      <c r="K645" s="15">
        <v>126.8</v>
      </c>
    </row>
    <row r="646" spans="1:11" ht="15" customHeight="1" x14ac:dyDescent="0.2">
      <c r="A646" s="9" t="s">
        <v>433</v>
      </c>
      <c r="B646" s="9" t="s">
        <v>1572</v>
      </c>
      <c r="C646" s="9" t="s">
        <v>245</v>
      </c>
      <c r="D646" s="9" t="s">
        <v>251</v>
      </c>
      <c r="E646" s="9" t="s">
        <v>262</v>
      </c>
      <c r="F646" s="9" t="s">
        <v>287</v>
      </c>
      <c r="G646" s="10">
        <v>0.3</v>
      </c>
      <c r="H646" s="15">
        <v>94</v>
      </c>
      <c r="I646" s="15">
        <v>70</v>
      </c>
      <c r="J646" s="15">
        <v>49</v>
      </c>
      <c r="K646" s="15">
        <v>346</v>
      </c>
    </row>
    <row r="647" spans="1:11" ht="15" customHeight="1" x14ac:dyDescent="0.2">
      <c r="A647" s="9" t="s">
        <v>434</v>
      </c>
      <c r="B647" s="9" t="s">
        <v>1572</v>
      </c>
      <c r="C647" s="9" t="s">
        <v>245</v>
      </c>
      <c r="D647" s="9" t="s">
        <v>251</v>
      </c>
      <c r="E647" s="9" t="s">
        <v>260</v>
      </c>
      <c r="F647" s="9" t="s">
        <v>287</v>
      </c>
      <c r="G647" s="10">
        <v>0.7</v>
      </c>
      <c r="H647" s="15">
        <v>65</v>
      </c>
      <c r="I647" s="15">
        <v>47</v>
      </c>
      <c r="J647" s="15">
        <v>21</v>
      </c>
      <c r="K647" s="15">
        <v>116.1</v>
      </c>
    </row>
    <row r="648" spans="1:11" ht="15" customHeight="1" x14ac:dyDescent="0.2">
      <c r="A648" s="9" t="s">
        <v>435</v>
      </c>
      <c r="B648" s="9" t="s">
        <v>1572</v>
      </c>
      <c r="C648" s="9" t="s">
        <v>245</v>
      </c>
      <c r="D648" s="9" t="s">
        <v>251</v>
      </c>
      <c r="E648" s="9" t="s">
        <v>262</v>
      </c>
      <c r="F648" s="9" t="s">
        <v>287</v>
      </c>
      <c r="G648" s="10">
        <v>0.65</v>
      </c>
      <c r="H648" s="15">
        <v>59</v>
      </c>
      <c r="I648" s="15">
        <v>56</v>
      </c>
      <c r="J648" s="15">
        <v>35</v>
      </c>
      <c r="K648" s="15">
        <v>147.6</v>
      </c>
    </row>
    <row r="649" spans="1:11" ht="15" customHeight="1" x14ac:dyDescent="0.2">
      <c r="A649" s="9" t="s">
        <v>436</v>
      </c>
      <c r="B649" s="9" t="s">
        <v>1572</v>
      </c>
      <c r="C649" s="9" t="s">
        <v>245</v>
      </c>
      <c r="D649" s="9" t="s">
        <v>251</v>
      </c>
      <c r="E649" s="9" t="s">
        <v>262</v>
      </c>
      <c r="F649" s="9" t="s">
        <v>287</v>
      </c>
      <c r="G649" s="10">
        <v>0.6</v>
      </c>
      <c r="H649" s="15">
        <v>68</v>
      </c>
      <c r="I649" s="15">
        <v>54</v>
      </c>
      <c r="J649" s="15">
        <v>22</v>
      </c>
      <c r="K649" s="15">
        <v>132</v>
      </c>
    </row>
    <row r="650" spans="1:11" ht="15" customHeight="1" x14ac:dyDescent="0.2">
      <c r="A650" s="9" t="s">
        <v>437</v>
      </c>
      <c r="B650" s="9" t="s">
        <v>1572</v>
      </c>
      <c r="C650" s="9" t="s">
        <v>245</v>
      </c>
      <c r="D650" s="9" t="s">
        <v>251</v>
      </c>
      <c r="E650" s="9" t="s">
        <v>261</v>
      </c>
      <c r="F650" s="9" t="s">
        <v>287</v>
      </c>
      <c r="G650" s="10">
        <v>0.15</v>
      </c>
      <c r="H650" s="15">
        <v>43</v>
      </c>
      <c r="I650" s="15">
        <v>38</v>
      </c>
      <c r="J650" s="15">
        <v>20</v>
      </c>
      <c r="K650" s="15">
        <v>30.3</v>
      </c>
    </row>
    <row r="651" spans="1:11" ht="15" customHeight="1" x14ac:dyDescent="0.2">
      <c r="A651" s="9" t="s">
        <v>438</v>
      </c>
      <c r="B651" s="9" t="s">
        <v>1572</v>
      </c>
      <c r="C651" s="9" t="s">
        <v>245</v>
      </c>
      <c r="D651" s="9" t="s">
        <v>251</v>
      </c>
      <c r="E651" s="9" t="s">
        <v>262</v>
      </c>
      <c r="F651" s="9" t="s">
        <v>287</v>
      </c>
      <c r="G651" s="10">
        <v>0.4</v>
      </c>
      <c r="H651" s="15">
        <v>43</v>
      </c>
      <c r="I651" s="15">
        <v>42</v>
      </c>
      <c r="J651" s="15">
        <v>18</v>
      </c>
      <c r="K651" s="15">
        <v>40.9</v>
      </c>
    </row>
    <row r="652" spans="1:11" ht="15" customHeight="1" x14ac:dyDescent="0.2">
      <c r="A652" s="9" t="s">
        <v>439</v>
      </c>
      <c r="B652" s="9" t="s">
        <v>1572</v>
      </c>
      <c r="C652" s="9" t="s">
        <v>245</v>
      </c>
      <c r="D652" s="9" t="s">
        <v>253</v>
      </c>
      <c r="E652" s="9" t="s">
        <v>262</v>
      </c>
      <c r="F652" s="9" t="s">
        <v>287</v>
      </c>
      <c r="G652" s="10">
        <v>0.4</v>
      </c>
      <c r="H652" s="15">
        <v>57</v>
      </c>
      <c r="I652" s="15">
        <v>39</v>
      </c>
      <c r="J652" s="15">
        <v>24</v>
      </c>
      <c r="K652" s="15">
        <v>53</v>
      </c>
    </row>
    <row r="653" spans="1:11" ht="15" customHeight="1" x14ac:dyDescent="0.2">
      <c r="A653" s="9" t="s">
        <v>440</v>
      </c>
      <c r="B653" s="9" t="s">
        <v>1572</v>
      </c>
      <c r="C653" s="9" t="s">
        <v>245</v>
      </c>
      <c r="D653" s="9" t="s">
        <v>251</v>
      </c>
      <c r="E653" s="9" t="s">
        <v>261</v>
      </c>
      <c r="F653" s="9" t="s">
        <v>287</v>
      </c>
      <c r="G653" s="10">
        <v>0.4</v>
      </c>
      <c r="H653" s="15">
        <v>53</v>
      </c>
      <c r="I653" s="15">
        <v>47</v>
      </c>
      <c r="J653" s="15">
        <v>22</v>
      </c>
      <c r="K653" s="15">
        <v>60.5</v>
      </c>
    </row>
    <row r="654" spans="1:11" ht="15" customHeight="1" x14ac:dyDescent="0.2">
      <c r="A654" s="9" t="s">
        <v>441</v>
      </c>
      <c r="B654" s="9" t="s">
        <v>1572</v>
      </c>
      <c r="C654" s="9" t="s">
        <v>245</v>
      </c>
      <c r="D654" s="9" t="s">
        <v>251</v>
      </c>
      <c r="E654" s="9" t="s">
        <v>261</v>
      </c>
      <c r="F654" s="9" t="s">
        <v>287</v>
      </c>
      <c r="G654" s="10">
        <v>0.2</v>
      </c>
      <c r="H654" s="15">
        <v>63</v>
      </c>
      <c r="I654" s="15">
        <v>37</v>
      </c>
      <c r="J654" s="15">
        <v>22</v>
      </c>
      <c r="K654" s="15">
        <v>38.9</v>
      </c>
    </row>
    <row r="655" spans="1:11" ht="15" customHeight="1" x14ac:dyDescent="0.2">
      <c r="A655" s="9" t="s">
        <v>442</v>
      </c>
      <c r="B655" s="9" t="s">
        <v>1572</v>
      </c>
      <c r="C655" s="9" t="s">
        <v>245</v>
      </c>
      <c r="D655" s="9" t="s">
        <v>251</v>
      </c>
      <c r="E655" s="9" t="s">
        <v>261</v>
      </c>
      <c r="F655" s="9" t="s">
        <v>287</v>
      </c>
      <c r="G655" s="10">
        <v>0.55000000000000004</v>
      </c>
      <c r="H655" s="15">
        <v>76</v>
      </c>
      <c r="I655" s="15">
        <v>67</v>
      </c>
      <c r="J655" s="15">
        <v>41</v>
      </c>
      <c r="K655" s="15">
        <v>289</v>
      </c>
    </row>
    <row r="656" spans="1:11" ht="15" customHeight="1" x14ac:dyDescent="0.2">
      <c r="A656" s="9" t="s">
        <v>443</v>
      </c>
      <c r="B656" s="9" t="s">
        <v>1572</v>
      </c>
      <c r="C656" s="9" t="s">
        <v>245</v>
      </c>
      <c r="D656" s="9" t="s">
        <v>751</v>
      </c>
      <c r="E656" s="9" t="s">
        <v>261</v>
      </c>
      <c r="F656" s="9" t="s">
        <v>287</v>
      </c>
      <c r="G656" s="10">
        <v>0.6</v>
      </c>
      <c r="H656" s="15">
        <v>92</v>
      </c>
      <c r="I656" s="15">
        <v>72</v>
      </c>
      <c r="J656" s="15">
        <v>24</v>
      </c>
      <c r="K656" s="15">
        <v>209.5</v>
      </c>
    </row>
    <row r="657" spans="1:11" ht="15" customHeight="1" x14ac:dyDescent="0.2">
      <c r="A657" s="9" t="s">
        <v>444</v>
      </c>
      <c r="B657" s="9" t="s">
        <v>1572</v>
      </c>
      <c r="C657" s="9" t="s">
        <v>245</v>
      </c>
      <c r="D657" s="9" t="s">
        <v>251</v>
      </c>
      <c r="E657" s="9" t="s">
        <v>260</v>
      </c>
      <c r="F657" s="9" t="s">
        <v>287</v>
      </c>
      <c r="G657" s="10">
        <v>1</v>
      </c>
      <c r="H657" s="15">
        <v>55</v>
      </c>
      <c r="I657" s="15">
        <v>48</v>
      </c>
      <c r="J657" s="15">
        <v>39</v>
      </c>
      <c r="K657" s="15">
        <v>145.5</v>
      </c>
    </row>
    <row r="658" spans="1:11" ht="15" customHeight="1" x14ac:dyDescent="0.2">
      <c r="A658" s="9" t="s">
        <v>446</v>
      </c>
      <c r="B658" s="9" t="s">
        <v>1572</v>
      </c>
      <c r="C658" s="9" t="s">
        <v>245</v>
      </c>
      <c r="D658" s="9" t="s">
        <v>253</v>
      </c>
      <c r="E658" s="9" t="s">
        <v>262</v>
      </c>
      <c r="F658" s="9" t="s">
        <v>287</v>
      </c>
      <c r="G658" s="10">
        <v>0.4</v>
      </c>
      <c r="H658" s="15">
        <v>44</v>
      </c>
      <c r="I658" s="15">
        <v>37</v>
      </c>
      <c r="J658" s="15">
        <v>20</v>
      </c>
      <c r="K658" s="15">
        <v>32.4</v>
      </c>
    </row>
    <row r="659" spans="1:11" ht="15" customHeight="1" x14ac:dyDescent="0.2">
      <c r="A659" s="9" t="s">
        <v>447</v>
      </c>
      <c r="B659" s="9" t="s">
        <v>1572</v>
      </c>
      <c r="C659" s="9" t="s">
        <v>245</v>
      </c>
      <c r="D659" s="9" t="s">
        <v>251</v>
      </c>
      <c r="E659" s="9" t="s">
        <v>261</v>
      </c>
      <c r="F659" s="9" t="s">
        <v>287</v>
      </c>
      <c r="G659" s="10">
        <v>0.55000000000000004</v>
      </c>
      <c r="H659" s="15">
        <v>68</v>
      </c>
      <c r="I659" s="15">
        <v>54</v>
      </c>
      <c r="J659" s="15">
        <v>37</v>
      </c>
      <c r="K659" s="15">
        <v>94</v>
      </c>
    </row>
    <row r="660" spans="1:11" ht="15" customHeight="1" x14ac:dyDescent="0.2">
      <c r="A660" s="9" t="s">
        <v>448</v>
      </c>
      <c r="B660" s="9" t="s">
        <v>1572</v>
      </c>
      <c r="C660" s="9" t="s">
        <v>245</v>
      </c>
      <c r="D660" s="9" t="s">
        <v>251</v>
      </c>
      <c r="E660" s="9" t="s">
        <v>261</v>
      </c>
      <c r="F660" s="9" t="s">
        <v>287</v>
      </c>
      <c r="G660" s="10">
        <v>0.7</v>
      </c>
      <c r="H660" s="15">
        <v>44</v>
      </c>
      <c r="I660" s="15">
        <v>43</v>
      </c>
      <c r="J660" s="15">
        <v>24</v>
      </c>
      <c r="K660" s="15">
        <v>74.400000000000006</v>
      </c>
    </row>
    <row r="661" spans="1:11" ht="15" customHeight="1" x14ac:dyDescent="0.2">
      <c r="A661" s="9" t="s">
        <v>449</v>
      </c>
      <c r="B661" s="9" t="s">
        <v>1572</v>
      </c>
      <c r="C661" s="9" t="s">
        <v>245</v>
      </c>
      <c r="D661" s="9" t="s">
        <v>251</v>
      </c>
      <c r="E661" s="9" t="s">
        <v>262</v>
      </c>
      <c r="F661" s="9" t="s">
        <v>287</v>
      </c>
      <c r="G661" s="10">
        <v>0.55000000000000004</v>
      </c>
      <c r="H661" s="15">
        <v>70</v>
      </c>
      <c r="I661" s="15">
        <v>54</v>
      </c>
      <c r="J661" s="15">
        <v>36</v>
      </c>
      <c r="K661" s="15">
        <v>230</v>
      </c>
    </row>
    <row r="662" spans="1:11" ht="15" customHeight="1" x14ac:dyDescent="0.2">
      <c r="A662" s="9" t="s">
        <v>450</v>
      </c>
      <c r="B662" s="9" t="s">
        <v>1572</v>
      </c>
      <c r="C662" s="9" t="s">
        <v>245</v>
      </c>
      <c r="D662" s="9" t="s">
        <v>251</v>
      </c>
      <c r="E662" s="9" t="s">
        <v>261</v>
      </c>
      <c r="F662" s="9" t="s">
        <v>287</v>
      </c>
      <c r="G662" s="10">
        <v>0.4</v>
      </c>
      <c r="H662" s="15">
        <v>45</v>
      </c>
      <c r="I662" s="15">
        <v>36</v>
      </c>
      <c r="J662" s="15">
        <v>30</v>
      </c>
      <c r="K662" s="15">
        <v>62.2</v>
      </c>
    </row>
    <row r="663" spans="1:11" ht="15" customHeight="1" x14ac:dyDescent="0.2">
      <c r="A663" s="9" t="s">
        <v>451</v>
      </c>
      <c r="B663" s="9" t="s">
        <v>1572</v>
      </c>
      <c r="C663" s="9" t="s">
        <v>245</v>
      </c>
      <c r="D663" s="9" t="s">
        <v>251</v>
      </c>
      <c r="E663" s="9" t="s">
        <v>261</v>
      </c>
      <c r="F663" s="9" t="s">
        <v>287</v>
      </c>
      <c r="G663" s="10">
        <v>0.35</v>
      </c>
      <c r="H663" s="15">
        <v>51</v>
      </c>
      <c r="I663" s="15">
        <v>35</v>
      </c>
      <c r="J663" s="15">
        <v>20</v>
      </c>
      <c r="K663" s="15">
        <v>35.1</v>
      </c>
    </row>
    <row r="664" spans="1:11" ht="15" customHeight="1" x14ac:dyDescent="0.2">
      <c r="A664" s="9" t="s">
        <v>452</v>
      </c>
      <c r="B664" s="9" t="s">
        <v>1572</v>
      </c>
      <c r="C664" s="9" t="s">
        <v>245</v>
      </c>
      <c r="D664" s="9" t="s">
        <v>251</v>
      </c>
      <c r="E664" s="9" t="s">
        <v>262</v>
      </c>
      <c r="F664" s="9" t="s">
        <v>287</v>
      </c>
      <c r="G664" s="10">
        <v>0.4</v>
      </c>
      <c r="H664" s="15">
        <v>72</v>
      </c>
      <c r="I664" s="15">
        <v>52</v>
      </c>
      <c r="J664" s="15">
        <v>34</v>
      </c>
      <c r="K664" s="15">
        <v>128.4</v>
      </c>
    </row>
    <row r="665" spans="1:11" ht="15" customHeight="1" x14ac:dyDescent="0.2">
      <c r="A665" s="9" t="s">
        <v>453</v>
      </c>
      <c r="B665" s="9" t="s">
        <v>1572</v>
      </c>
      <c r="C665" s="9" t="s">
        <v>245</v>
      </c>
      <c r="D665" s="9" t="s">
        <v>251</v>
      </c>
      <c r="E665" s="9" t="s">
        <v>261</v>
      </c>
      <c r="F665" s="9" t="s">
        <v>287</v>
      </c>
      <c r="G665" s="10">
        <v>0.45</v>
      </c>
      <c r="H665" s="15">
        <v>99</v>
      </c>
      <c r="I665" s="15">
        <v>51</v>
      </c>
      <c r="J665" s="15">
        <v>38</v>
      </c>
      <c r="K665" s="15">
        <v>153.80000000000001</v>
      </c>
    </row>
    <row r="666" spans="1:11" ht="15" customHeight="1" x14ac:dyDescent="0.2">
      <c r="A666" s="9" t="s">
        <v>454</v>
      </c>
      <c r="B666" s="9" t="s">
        <v>1572</v>
      </c>
      <c r="C666" s="9" t="s">
        <v>245</v>
      </c>
      <c r="D666" s="9" t="s">
        <v>751</v>
      </c>
      <c r="E666" s="9" t="s">
        <v>261</v>
      </c>
      <c r="F666" s="9" t="s">
        <v>287</v>
      </c>
      <c r="G666" s="10">
        <v>0.95</v>
      </c>
      <c r="H666" s="15">
        <v>78</v>
      </c>
      <c r="I666" s="15">
        <v>54</v>
      </c>
      <c r="J666" s="15">
        <v>28</v>
      </c>
      <c r="K666" s="15">
        <v>121.9</v>
      </c>
    </row>
    <row r="667" spans="1:11" ht="15" customHeight="1" x14ac:dyDescent="0.2">
      <c r="A667" s="9" t="s">
        <v>455</v>
      </c>
      <c r="B667" s="9" t="s">
        <v>1572</v>
      </c>
      <c r="C667" s="9" t="s">
        <v>245</v>
      </c>
      <c r="D667" s="9" t="s">
        <v>251</v>
      </c>
      <c r="E667" s="9" t="s">
        <v>261</v>
      </c>
      <c r="F667" s="9" t="s">
        <v>287</v>
      </c>
      <c r="G667" s="10">
        <v>0.35</v>
      </c>
      <c r="H667" s="15">
        <v>53</v>
      </c>
      <c r="I667" s="15">
        <v>42</v>
      </c>
      <c r="J667" s="15">
        <v>23</v>
      </c>
      <c r="K667" s="15">
        <v>81.900000000000006</v>
      </c>
    </row>
    <row r="668" spans="1:11" ht="15" customHeight="1" x14ac:dyDescent="0.2">
      <c r="A668" s="9" t="s">
        <v>456</v>
      </c>
      <c r="B668" s="9" t="s">
        <v>1572</v>
      </c>
      <c r="C668" s="9" t="s">
        <v>245</v>
      </c>
      <c r="D668" s="9" t="s">
        <v>251</v>
      </c>
      <c r="E668" s="9" t="s">
        <v>261</v>
      </c>
      <c r="F668" s="9" t="s">
        <v>287</v>
      </c>
      <c r="G668" s="10">
        <v>0.7</v>
      </c>
      <c r="H668" s="15">
        <v>87</v>
      </c>
      <c r="I668" s="15">
        <v>58</v>
      </c>
      <c r="J668" s="15">
        <v>36</v>
      </c>
      <c r="K668" s="15">
        <v>248.9</v>
      </c>
    </row>
    <row r="669" spans="1:11" ht="15" customHeight="1" x14ac:dyDescent="0.2">
      <c r="A669" s="9" t="s">
        <v>457</v>
      </c>
      <c r="B669" s="9" t="s">
        <v>1572</v>
      </c>
      <c r="C669" s="9" t="s">
        <v>245</v>
      </c>
      <c r="D669" s="9" t="s">
        <v>251</v>
      </c>
      <c r="E669" s="9" t="s">
        <v>262</v>
      </c>
      <c r="F669" s="9" t="s">
        <v>287</v>
      </c>
      <c r="G669" s="10">
        <v>0.6</v>
      </c>
      <c r="H669" s="15">
        <v>77</v>
      </c>
      <c r="I669" s="15">
        <v>50</v>
      </c>
      <c r="J669" s="15">
        <v>21</v>
      </c>
      <c r="K669" s="15">
        <v>87.6</v>
      </c>
    </row>
    <row r="670" spans="1:11" ht="15" customHeight="1" x14ac:dyDescent="0.2">
      <c r="A670" s="9" t="s">
        <v>458</v>
      </c>
      <c r="B670" s="9" t="s">
        <v>1572</v>
      </c>
      <c r="C670" s="9" t="s">
        <v>245</v>
      </c>
      <c r="D670" s="9" t="s">
        <v>251</v>
      </c>
      <c r="E670" s="9" t="s">
        <v>262</v>
      </c>
      <c r="F670" s="9" t="s">
        <v>287</v>
      </c>
      <c r="G670" s="10">
        <v>0.4</v>
      </c>
      <c r="H670" s="15">
        <v>91</v>
      </c>
      <c r="I670" s="15">
        <v>60</v>
      </c>
      <c r="J670" s="15">
        <v>40</v>
      </c>
      <c r="K670" s="15">
        <v>217.4</v>
      </c>
    </row>
    <row r="671" spans="1:11" ht="15" customHeight="1" x14ac:dyDescent="0.2">
      <c r="A671" s="9" t="s">
        <v>459</v>
      </c>
      <c r="B671" s="9" t="s">
        <v>1572</v>
      </c>
      <c r="C671" s="9" t="s">
        <v>245</v>
      </c>
      <c r="D671" s="9" t="s">
        <v>251</v>
      </c>
      <c r="E671" s="9" t="s">
        <v>261</v>
      </c>
      <c r="F671" s="9" t="s">
        <v>287</v>
      </c>
      <c r="G671" s="10">
        <v>0.55000000000000004</v>
      </c>
      <c r="H671" s="15">
        <v>93</v>
      </c>
      <c r="I671" s="15">
        <v>77</v>
      </c>
      <c r="J671" s="15">
        <v>62</v>
      </c>
      <c r="K671" s="15">
        <v>500</v>
      </c>
    </row>
    <row r="672" spans="1:11" ht="15" customHeight="1" x14ac:dyDescent="0.2">
      <c r="A672" s="9" t="s">
        <v>460</v>
      </c>
      <c r="B672" s="9" t="s">
        <v>1572</v>
      </c>
      <c r="C672" s="9" t="s">
        <v>245</v>
      </c>
      <c r="D672" s="9" t="s">
        <v>251</v>
      </c>
      <c r="E672" s="9" t="s">
        <v>260</v>
      </c>
      <c r="F672" s="9" t="s">
        <v>287</v>
      </c>
      <c r="G672" s="10">
        <v>0.8</v>
      </c>
      <c r="H672" s="15">
        <v>76</v>
      </c>
      <c r="I672" s="15">
        <v>51</v>
      </c>
      <c r="J672" s="15">
        <v>24</v>
      </c>
      <c r="K672" s="15">
        <v>142.4</v>
      </c>
    </row>
    <row r="673" spans="1:11" ht="15" customHeight="1" x14ac:dyDescent="0.2">
      <c r="A673" s="9" t="s">
        <v>461</v>
      </c>
      <c r="B673" s="9" t="s">
        <v>1572</v>
      </c>
      <c r="C673" s="9" t="s">
        <v>245</v>
      </c>
      <c r="D673" s="9" t="s">
        <v>251</v>
      </c>
      <c r="E673" s="9" t="s">
        <v>261</v>
      </c>
      <c r="F673" s="9" t="s">
        <v>287</v>
      </c>
      <c r="G673" s="10">
        <v>1</v>
      </c>
      <c r="H673" s="15">
        <v>100</v>
      </c>
      <c r="I673" s="15">
        <v>77</v>
      </c>
      <c r="J673" s="15">
        <v>55</v>
      </c>
      <c r="K673" s="15">
        <v>670.8</v>
      </c>
    </row>
    <row r="674" spans="1:11" ht="15" customHeight="1" x14ac:dyDescent="0.2">
      <c r="A674" s="9" t="s">
        <v>462</v>
      </c>
      <c r="B674" s="9" t="s">
        <v>1572</v>
      </c>
      <c r="C674" s="9" t="s">
        <v>245</v>
      </c>
      <c r="D674" s="9" t="s">
        <v>252</v>
      </c>
      <c r="E674" s="9" t="s">
        <v>262</v>
      </c>
      <c r="F674" s="9" t="s">
        <v>287</v>
      </c>
      <c r="G674" s="10">
        <v>0.4</v>
      </c>
      <c r="H674" s="15">
        <v>56</v>
      </c>
      <c r="I674" s="15">
        <v>47</v>
      </c>
      <c r="J674" s="15">
        <v>38</v>
      </c>
      <c r="K674" s="15">
        <v>178.1</v>
      </c>
    </row>
    <row r="675" spans="1:11" ht="15" customHeight="1" x14ac:dyDescent="0.2">
      <c r="A675" s="9" t="s">
        <v>463</v>
      </c>
      <c r="B675" s="9" t="s">
        <v>1572</v>
      </c>
      <c r="C675" s="9" t="s">
        <v>246</v>
      </c>
      <c r="D675" s="9" t="s">
        <v>258</v>
      </c>
      <c r="E675" s="9" t="s">
        <v>261</v>
      </c>
      <c r="F675" s="9" t="s">
        <v>287</v>
      </c>
      <c r="G675" s="10">
        <v>0.4</v>
      </c>
      <c r="H675" s="15">
        <v>80</v>
      </c>
      <c r="I675" s="15">
        <v>59</v>
      </c>
      <c r="J675" s="15">
        <v>30</v>
      </c>
      <c r="K675" s="15">
        <v>161.4</v>
      </c>
    </row>
    <row r="676" spans="1:11" ht="15" customHeight="1" x14ac:dyDescent="0.2">
      <c r="A676" s="9" t="s">
        <v>465</v>
      </c>
      <c r="B676" s="9" t="s">
        <v>1572</v>
      </c>
      <c r="C676" s="9" t="s">
        <v>246</v>
      </c>
      <c r="D676" s="9" t="s">
        <v>255</v>
      </c>
      <c r="E676" s="9" t="s">
        <v>262</v>
      </c>
      <c r="F676" s="9" t="s">
        <v>287</v>
      </c>
      <c r="G676" s="10">
        <v>0.7</v>
      </c>
      <c r="H676" s="15">
        <v>74</v>
      </c>
      <c r="I676" s="15">
        <v>63</v>
      </c>
      <c r="J676" s="15">
        <v>46</v>
      </c>
      <c r="K676" s="15">
        <v>260.8</v>
      </c>
    </row>
    <row r="677" spans="1:11" ht="15" customHeight="1" x14ac:dyDescent="0.2">
      <c r="A677" s="9" t="s">
        <v>466</v>
      </c>
      <c r="B677" s="9" t="s">
        <v>1572</v>
      </c>
      <c r="C677" s="9" t="s">
        <v>246</v>
      </c>
      <c r="D677" s="9" t="s">
        <v>258</v>
      </c>
      <c r="E677" s="9" t="s">
        <v>262</v>
      </c>
      <c r="F677" s="9" t="s">
        <v>287</v>
      </c>
      <c r="G677" s="10">
        <v>0.8</v>
      </c>
      <c r="H677" s="15">
        <v>92</v>
      </c>
      <c r="I677" s="15">
        <v>85</v>
      </c>
      <c r="J677" s="15">
        <v>67</v>
      </c>
      <c r="K677" s="15">
        <v>508.3</v>
      </c>
    </row>
    <row r="678" spans="1:11" ht="15" customHeight="1" x14ac:dyDescent="0.2">
      <c r="A678" s="9" t="s">
        <v>467</v>
      </c>
      <c r="B678" s="9" t="s">
        <v>1572</v>
      </c>
      <c r="C678" s="9" t="s">
        <v>246</v>
      </c>
      <c r="D678" s="9" t="s">
        <v>255</v>
      </c>
      <c r="E678" s="9" t="s">
        <v>261</v>
      </c>
      <c r="F678" s="9" t="s">
        <v>287</v>
      </c>
      <c r="G678" s="10">
        <v>0.6</v>
      </c>
      <c r="H678" s="15">
        <v>84</v>
      </c>
      <c r="I678" s="15">
        <v>56</v>
      </c>
      <c r="J678" s="15">
        <v>37</v>
      </c>
      <c r="K678" s="15">
        <v>170.8</v>
      </c>
    </row>
    <row r="679" spans="1:11" ht="15" customHeight="1" x14ac:dyDescent="0.2">
      <c r="A679" s="9" t="s">
        <v>468</v>
      </c>
      <c r="B679" s="9" t="s">
        <v>1572</v>
      </c>
      <c r="C679" s="9" t="s">
        <v>246</v>
      </c>
      <c r="D679" s="9" t="s">
        <v>251</v>
      </c>
      <c r="E679" s="9" t="s">
        <v>260</v>
      </c>
      <c r="F679" s="9" t="s">
        <v>287</v>
      </c>
      <c r="G679" s="10">
        <v>0.6</v>
      </c>
      <c r="H679" s="15">
        <v>54</v>
      </c>
      <c r="I679" s="15">
        <v>52</v>
      </c>
      <c r="J679" s="15">
        <v>29</v>
      </c>
      <c r="K679" s="15">
        <v>125.5</v>
      </c>
    </row>
    <row r="680" spans="1:11" ht="15" customHeight="1" x14ac:dyDescent="0.2">
      <c r="A680" s="9" t="s">
        <v>469</v>
      </c>
      <c r="B680" s="9" t="s">
        <v>1572</v>
      </c>
      <c r="C680" s="9" t="s">
        <v>246</v>
      </c>
      <c r="D680" s="9" t="s">
        <v>258</v>
      </c>
      <c r="E680" s="9" t="s">
        <v>263</v>
      </c>
      <c r="F680" s="9" t="s">
        <v>287</v>
      </c>
      <c r="G680" s="10">
        <v>0.8</v>
      </c>
      <c r="H680" s="15">
        <v>74</v>
      </c>
      <c r="I680" s="15">
        <v>68</v>
      </c>
      <c r="J680" s="15">
        <v>58</v>
      </c>
      <c r="K680" s="15">
        <v>301.7</v>
      </c>
    </row>
    <row r="681" spans="1:11" ht="15" customHeight="1" x14ac:dyDescent="0.2">
      <c r="A681" s="9" t="s">
        <v>470</v>
      </c>
      <c r="B681" s="9" t="s">
        <v>1572</v>
      </c>
      <c r="C681" s="9" t="s">
        <v>246</v>
      </c>
      <c r="D681" s="9" t="s">
        <v>251</v>
      </c>
      <c r="E681" s="9" t="s">
        <v>261</v>
      </c>
      <c r="F681" s="9" t="s">
        <v>287</v>
      </c>
      <c r="G681" s="10">
        <v>0.6</v>
      </c>
      <c r="H681" s="15">
        <v>80</v>
      </c>
      <c r="I681" s="15">
        <v>49</v>
      </c>
      <c r="J681" s="15">
        <v>24</v>
      </c>
      <c r="K681" s="15">
        <v>110.9</v>
      </c>
    </row>
    <row r="682" spans="1:11" ht="15" customHeight="1" x14ac:dyDescent="0.2">
      <c r="A682" s="9" t="s">
        <v>471</v>
      </c>
      <c r="B682" s="9" t="s">
        <v>1572</v>
      </c>
      <c r="C682" s="9" t="s">
        <v>246</v>
      </c>
      <c r="D682" s="9" t="s">
        <v>251</v>
      </c>
      <c r="E682" s="9" t="s">
        <v>260</v>
      </c>
      <c r="F682" s="9" t="s">
        <v>287</v>
      </c>
      <c r="G682" s="10">
        <v>0.35</v>
      </c>
      <c r="H682" s="15">
        <v>55</v>
      </c>
      <c r="I682" s="15">
        <v>29</v>
      </c>
      <c r="J682" s="15">
        <v>22</v>
      </c>
      <c r="K682" s="15">
        <v>54.6</v>
      </c>
    </row>
    <row r="683" spans="1:11" ht="15" customHeight="1" x14ac:dyDescent="0.2">
      <c r="A683" s="9" t="s">
        <v>472</v>
      </c>
      <c r="B683" s="9" t="s">
        <v>1572</v>
      </c>
      <c r="C683" s="9" t="s">
        <v>246</v>
      </c>
      <c r="D683" s="9" t="s">
        <v>258</v>
      </c>
      <c r="E683" s="9" t="s">
        <v>261</v>
      </c>
      <c r="F683" s="9" t="s">
        <v>287</v>
      </c>
      <c r="G683" s="10">
        <v>0.55000000000000004</v>
      </c>
      <c r="H683" s="15">
        <v>58</v>
      </c>
      <c r="I683" s="15">
        <v>52</v>
      </c>
      <c r="J683" s="15">
        <v>38</v>
      </c>
      <c r="K683" s="15">
        <v>123.5</v>
      </c>
    </row>
    <row r="684" spans="1:11" ht="15" customHeight="1" x14ac:dyDescent="0.2">
      <c r="A684" s="9" t="s">
        <v>473</v>
      </c>
      <c r="B684" s="9" t="s">
        <v>1572</v>
      </c>
      <c r="C684" s="9" t="s">
        <v>246</v>
      </c>
      <c r="D684" s="9" t="s">
        <v>251</v>
      </c>
      <c r="E684" s="9" t="s">
        <v>261</v>
      </c>
      <c r="F684" s="9" t="s">
        <v>287</v>
      </c>
      <c r="G684" s="10">
        <v>0.9</v>
      </c>
      <c r="H684" s="15">
        <v>62</v>
      </c>
      <c r="I684" s="15">
        <v>62</v>
      </c>
      <c r="J684" s="15">
        <v>43</v>
      </c>
      <c r="K684" s="15">
        <v>178.8</v>
      </c>
    </row>
    <row r="685" spans="1:11" ht="15" customHeight="1" x14ac:dyDescent="0.2">
      <c r="A685" s="9" t="s">
        <v>474</v>
      </c>
      <c r="B685" s="9" t="s">
        <v>1572</v>
      </c>
      <c r="C685" s="9" t="s">
        <v>246</v>
      </c>
      <c r="D685" s="9" t="s">
        <v>251</v>
      </c>
      <c r="E685" s="9" t="s">
        <v>260</v>
      </c>
      <c r="F685" s="9" t="s">
        <v>287</v>
      </c>
      <c r="G685" s="10">
        <v>0.7</v>
      </c>
      <c r="H685" s="15">
        <v>55</v>
      </c>
      <c r="I685" s="15">
        <v>48</v>
      </c>
      <c r="J685" s="15">
        <v>34</v>
      </c>
      <c r="K685" s="15">
        <v>95.2</v>
      </c>
    </row>
    <row r="686" spans="1:11" ht="15" customHeight="1" x14ac:dyDescent="0.2">
      <c r="A686" s="9" t="s">
        <v>475</v>
      </c>
      <c r="B686" s="9" t="s">
        <v>1572</v>
      </c>
      <c r="C686" s="9" t="s">
        <v>246</v>
      </c>
      <c r="D686" s="9" t="s">
        <v>251</v>
      </c>
      <c r="E686" s="9" t="s">
        <v>260</v>
      </c>
      <c r="F686" s="9" t="s">
        <v>287</v>
      </c>
      <c r="G686" s="10">
        <v>0.8</v>
      </c>
      <c r="H686" s="15">
        <v>95</v>
      </c>
      <c r="I686" s="15">
        <v>76</v>
      </c>
      <c r="J686" s="15">
        <v>60</v>
      </c>
      <c r="K686" s="15">
        <v>557.70000000000005</v>
      </c>
    </row>
    <row r="687" spans="1:11" ht="15" customHeight="1" x14ac:dyDescent="0.2">
      <c r="A687" s="9" t="s">
        <v>476</v>
      </c>
      <c r="B687" s="9" t="s">
        <v>1572</v>
      </c>
      <c r="C687" s="9" t="s">
        <v>246</v>
      </c>
      <c r="D687" s="9" t="s">
        <v>258</v>
      </c>
      <c r="E687" s="9" t="s">
        <v>261</v>
      </c>
      <c r="F687" s="9" t="s">
        <v>287</v>
      </c>
      <c r="G687" s="10">
        <v>0.4</v>
      </c>
      <c r="H687" s="15">
        <v>58</v>
      </c>
      <c r="I687" s="15">
        <v>57</v>
      </c>
      <c r="J687" s="15">
        <v>31</v>
      </c>
      <c r="K687" s="15">
        <v>112.4</v>
      </c>
    </row>
    <row r="688" spans="1:11" ht="15" customHeight="1" x14ac:dyDescent="0.2">
      <c r="A688" s="9" t="s">
        <v>477</v>
      </c>
      <c r="B688" s="9" t="s">
        <v>1572</v>
      </c>
      <c r="C688" s="9" t="s">
        <v>246</v>
      </c>
      <c r="D688" s="9" t="s">
        <v>251</v>
      </c>
      <c r="E688" s="9" t="s">
        <v>260</v>
      </c>
      <c r="F688" s="9" t="s">
        <v>287</v>
      </c>
      <c r="G688" s="10">
        <v>0.8</v>
      </c>
      <c r="H688" s="15">
        <v>90</v>
      </c>
      <c r="I688" s="15">
        <v>70</v>
      </c>
      <c r="J688" s="15">
        <v>61</v>
      </c>
      <c r="K688" s="15">
        <v>494.3</v>
      </c>
    </row>
    <row r="689" spans="1:11" ht="15" customHeight="1" x14ac:dyDescent="0.2">
      <c r="A689" s="9" t="s">
        <v>478</v>
      </c>
      <c r="B689" s="9" t="s">
        <v>1572</v>
      </c>
      <c r="C689" s="9" t="s">
        <v>246</v>
      </c>
      <c r="D689" s="9" t="s">
        <v>251</v>
      </c>
      <c r="E689" s="9" t="s">
        <v>261</v>
      </c>
      <c r="F689" s="9" t="s">
        <v>287</v>
      </c>
      <c r="G689" s="10">
        <v>0.1</v>
      </c>
      <c r="H689" s="15">
        <v>66</v>
      </c>
      <c r="I689" s="15">
        <v>47</v>
      </c>
      <c r="J689" s="15">
        <v>20</v>
      </c>
      <c r="K689" s="15">
        <v>81.3</v>
      </c>
    </row>
    <row r="690" spans="1:11" ht="15" customHeight="1" x14ac:dyDescent="0.2">
      <c r="A690" s="9" t="s">
        <v>480</v>
      </c>
      <c r="B690" s="9" t="s">
        <v>1572</v>
      </c>
      <c r="C690" s="9" t="s">
        <v>246</v>
      </c>
      <c r="D690" s="9" t="s">
        <v>251</v>
      </c>
      <c r="E690" s="9" t="s">
        <v>261</v>
      </c>
      <c r="F690" s="9" t="s">
        <v>287</v>
      </c>
      <c r="G690" s="10">
        <v>0.4</v>
      </c>
      <c r="H690" s="15">
        <v>44</v>
      </c>
      <c r="I690" s="15">
        <v>37</v>
      </c>
      <c r="J690" s="15">
        <v>17</v>
      </c>
      <c r="K690" s="15">
        <v>38.799999999999997</v>
      </c>
    </row>
    <row r="691" spans="1:11" ht="15" customHeight="1" x14ac:dyDescent="0.2">
      <c r="A691" s="9" t="s">
        <v>481</v>
      </c>
      <c r="B691" s="9" t="s">
        <v>1572</v>
      </c>
      <c r="C691" s="9" t="s">
        <v>246</v>
      </c>
      <c r="D691" s="9" t="s">
        <v>251</v>
      </c>
      <c r="E691" s="9" t="s">
        <v>262</v>
      </c>
      <c r="F691" s="9" t="s">
        <v>287</v>
      </c>
      <c r="G691" s="10">
        <v>0.25</v>
      </c>
      <c r="H691" s="15">
        <v>46</v>
      </c>
      <c r="I691" s="15">
        <v>46</v>
      </c>
      <c r="J691" s="15">
        <v>28</v>
      </c>
      <c r="K691" s="15">
        <v>63.2</v>
      </c>
    </row>
    <row r="692" spans="1:11" ht="15" customHeight="1" x14ac:dyDescent="0.2">
      <c r="A692" s="9" t="s">
        <v>482</v>
      </c>
      <c r="B692" s="9" t="s">
        <v>1572</v>
      </c>
      <c r="C692" s="9" t="s">
        <v>246</v>
      </c>
      <c r="D692" s="9" t="s">
        <v>251</v>
      </c>
      <c r="E692" s="9" t="s">
        <v>263</v>
      </c>
      <c r="F692" s="9" t="s">
        <v>287</v>
      </c>
      <c r="G692" s="10">
        <v>0.35</v>
      </c>
      <c r="H692" s="15">
        <v>52</v>
      </c>
      <c r="I692" s="15">
        <v>43</v>
      </c>
      <c r="J692" s="15">
        <v>27</v>
      </c>
      <c r="K692" s="15">
        <v>64.8</v>
      </c>
    </row>
    <row r="693" spans="1:11" ht="15" customHeight="1" x14ac:dyDescent="0.2">
      <c r="A693" s="9" t="s">
        <v>483</v>
      </c>
      <c r="B693" s="9" t="s">
        <v>1572</v>
      </c>
      <c r="C693" s="9" t="s">
        <v>246</v>
      </c>
      <c r="D693" s="9" t="s">
        <v>251</v>
      </c>
      <c r="E693" s="9" t="s">
        <v>261</v>
      </c>
      <c r="F693" s="9" t="s">
        <v>287</v>
      </c>
      <c r="G693" s="10">
        <v>0.6</v>
      </c>
      <c r="H693" s="15">
        <v>45</v>
      </c>
      <c r="I693" s="15">
        <v>35</v>
      </c>
      <c r="J693" s="15">
        <v>18</v>
      </c>
      <c r="K693" s="15">
        <v>46</v>
      </c>
    </row>
    <row r="694" spans="1:11" ht="15" customHeight="1" x14ac:dyDescent="0.2">
      <c r="A694" s="9" t="s">
        <v>484</v>
      </c>
      <c r="B694" s="9" t="s">
        <v>1572</v>
      </c>
      <c r="C694" s="9" t="s">
        <v>246</v>
      </c>
      <c r="D694" s="9" t="s">
        <v>251</v>
      </c>
      <c r="E694" s="9" t="s">
        <v>262</v>
      </c>
      <c r="F694" s="9" t="s">
        <v>287</v>
      </c>
      <c r="G694" s="10">
        <v>0.35</v>
      </c>
      <c r="H694" s="15">
        <v>53</v>
      </c>
      <c r="I694" s="15">
        <v>38</v>
      </c>
      <c r="J694" s="15">
        <v>21</v>
      </c>
      <c r="K694" s="15">
        <v>55.2</v>
      </c>
    </row>
    <row r="695" spans="1:11" ht="15" customHeight="1" x14ac:dyDescent="0.2">
      <c r="A695" s="9" t="s">
        <v>485</v>
      </c>
      <c r="B695" s="9" t="s">
        <v>1572</v>
      </c>
      <c r="C695" s="9" t="s">
        <v>246</v>
      </c>
      <c r="D695" s="9" t="s">
        <v>251</v>
      </c>
      <c r="E695" s="9" t="s">
        <v>262</v>
      </c>
      <c r="F695" s="9" t="s">
        <v>287</v>
      </c>
      <c r="G695" s="10">
        <v>0.6</v>
      </c>
      <c r="H695" s="15">
        <v>67</v>
      </c>
      <c r="I695" s="15">
        <v>45</v>
      </c>
      <c r="J695" s="15">
        <v>19</v>
      </c>
      <c r="K695" s="15">
        <v>60.9</v>
      </c>
    </row>
    <row r="696" spans="1:11" ht="15" customHeight="1" x14ac:dyDescent="0.2">
      <c r="A696" s="9" t="s">
        <v>486</v>
      </c>
      <c r="B696" s="9" t="s">
        <v>1572</v>
      </c>
      <c r="C696" s="9" t="s">
        <v>246</v>
      </c>
      <c r="D696" s="9" t="s">
        <v>251</v>
      </c>
      <c r="E696" s="9" t="s">
        <v>260</v>
      </c>
      <c r="F696" s="9" t="s">
        <v>287</v>
      </c>
      <c r="G696" s="10">
        <v>0.9</v>
      </c>
      <c r="H696" s="15">
        <v>90</v>
      </c>
      <c r="I696" s="15">
        <v>76</v>
      </c>
      <c r="J696" s="15">
        <v>45</v>
      </c>
      <c r="K696" s="15">
        <v>422.8</v>
      </c>
    </row>
    <row r="697" spans="1:11" ht="15" customHeight="1" x14ac:dyDescent="0.2">
      <c r="A697" s="9" t="s">
        <v>487</v>
      </c>
      <c r="B697" s="9" t="s">
        <v>1572</v>
      </c>
      <c r="C697" s="9" t="s">
        <v>246</v>
      </c>
      <c r="D697" s="9" t="s">
        <v>251</v>
      </c>
      <c r="E697" s="9" t="s">
        <v>261</v>
      </c>
      <c r="F697" s="9" t="s">
        <v>287</v>
      </c>
      <c r="G697" s="10">
        <v>0.25</v>
      </c>
      <c r="H697" s="15">
        <v>60</v>
      </c>
      <c r="I697" s="15">
        <v>34</v>
      </c>
      <c r="J697" s="15">
        <v>22</v>
      </c>
      <c r="K697" s="15">
        <v>47.9</v>
      </c>
    </row>
    <row r="698" spans="1:11" ht="15" customHeight="1" x14ac:dyDescent="0.2">
      <c r="A698" s="9" t="s">
        <v>488</v>
      </c>
      <c r="B698" s="9" t="s">
        <v>1572</v>
      </c>
      <c r="C698" s="9" t="s">
        <v>246</v>
      </c>
      <c r="D698" s="9" t="s">
        <v>253</v>
      </c>
      <c r="E698" s="9" t="s">
        <v>262</v>
      </c>
      <c r="F698" s="9" t="s">
        <v>287</v>
      </c>
      <c r="G698" s="10">
        <v>0.55000000000000004</v>
      </c>
      <c r="H698" s="15">
        <v>80</v>
      </c>
      <c r="I698" s="15">
        <v>57</v>
      </c>
      <c r="J698" s="15">
        <v>30</v>
      </c>
      <c r="K698" s="15">
        <v>153.80000000000001</v>
      </c>
    </row>
    <row r="699" spans="1:11" ht="15" customHeight="1" x14ac:dyDescent="0.2">
      <c r="A699" s="9" t="s">
        <v>489</v>
      </c>
      <c r="B699" s="9" t="s">
        <v>1572</v>
      </c>
      <c r="C699" s="9" t="s">
        <v>246</v>
      </c>
      <c r="D699" s="9" t="s">
        <v>751</v>
      </c>
      <c r="E699" s="9" t="s">
        <v>263</v>
      </c>
      <c r="F699" s="9" t="s">
        <v>287</v>
      </c>
      <c r="G699" s="10">
        <v>0.4</v>
      </c>
      <c r="H699" s="15">
        <v>77</v>
      </c>
      <c r="I699" s="15">
        <v>53</v>
      </c>
      <c r="J699" s="15">
        <v>44</v>
      </c>
      <c r="K699" s="15">
        <v>193.3</v>
      </c>
    </row>
    <row r="700" spans="1:11" ht="15" customHeight="1" x14ac:dyDescent="0.2">
      <c r="A700" s="9" t="s">
        <v>490</v>
      </c>
      <c r="B700" s="9" t="s">
        <v>1572</v>
      </c>
      <c r="C700" s="9" t="s">
        <v>246</v>
      </c>
      <c r="D700" s="9" t="s">
        <v>255</v>
      </c>
      <c r="E700" s="9" t="s">
        <v>261</v>
      </c>
      <c r="F700" s="9" t="s">
        <v>287</v>
      </c>
      <c r="G700" s="10">
        <v>1</v>
      </c>
      <c r="H700" s="15">
        <v>125</v>
      </c>
      <c r="I700" s="15">
        <v>80</v>
      </c>
      <c r="J700" s="15">
        <v>64</v>
      </c>
      <c r="K700" s="15">
        <v>898</v>
      </c>
    </row>
    <row r="701" spans="1:11" ht="15" customHeight="1" x14ac:dyDescent="0.2">
      <c r="A701" s="9" t="s">
        <v>491</v>
      </c>
      <c r="B701" s="9" t="s">
        <v>1572</v>
      </c>
      <c r="C701" s="9" t="s">
        <v>246</v>
      </c>
      <c r="D701" s="9" t="s">
        <v>252</v>
      </c>
      <c r="E701" s="9" t="s">
        <v>262</v>
      </c>
      <c r="F701" s="9" t="s">
        <v>287</v>
      </c>
      <c r="G701" s="10">
        <v>0.4</v>
      </c>
      <c r="H701" s="15">
        <v>82</v>
      </c>
      <c r="I701" s="15">
        <v>64</v>
      </c>
      <c r="J701" s="15">
        <v>26</v>
      </c>
      <c r="K701" s="15">
        <v>206.5</v>
      </c>
    </row>
    <row r="702" spans="1:11" ht="15" customHeight="1" x14ac:dyDescent="0.2">
      <c r="A702" s="9" t="s">
        <v>492</v>
      </c>
      <c r="B702" s="9" t="s">
        <v>1572</v>
      </c>
      <c r="C702" s="9" t="s">
        <v>246</v>
      </c>
      <c r="D702" s="9" t="s">
        <v>251</v>
      </c>
      <c r="E702" s="9" t="s">
        <v>261</v>
      </c>
      <c r="F702" s="9" t="s">
        <v>287</v>
      </c>
      <c r="G702" s="10">
        <v>0.6</v>
      </c>
      <c r="H702" s="15">
        <v>88</v>
      </c>
      <c r="I702" s="15">
        <v>61</v>
      </c>
      <c r="J702" s="15">
        <v>39</v>
      </c>
      <c r="K702" s="15">
        <v>248.9</v>
      </c>
    </row>
    <row r="703" spans="1:11" ht="15" customHeight="1" x14ac:dyDescent="0.2">
      <c r="A703" s="9" t="s">
        <v>493</v>
      </c>
      <c r="B703" s="9" t="s">
        <v>1572</v>
      </c>
      <c r="C703" s="9" t="s">
        <v>246</v>
      </c>
      <c r="D703" s="9" t="s">
        <v>251</v>
      </c>
      <c r="E703" s="9" t="s">
        <v>261</v>
      </c>
      <c r="F703" s="9" t="s">
        <v>287</v>
      </c>
      <c r="G703" s="10">
        <v>0.7</v>
      </c>
      <c r="H703" s="15">
        <v>65</v>
      </c>
      <c r="I703" s="15">
        <v>62</v>
      </c>
      <c r="J703" s="15">
        <v>33</v>
      </c>
      <c r="K703" s="15">
        <v>179.3</v>
      </c>
    </row>
    <row r="704" spans="1:11" ht="15" customHeight="1" x14ac:dyDescent="0.2">
      <c r="A704" s="9" t="s">
        <v>494</v>
      </c>
      <c r="B704" s="9" t="s">
        <v>1572</v>
      </c>
      <c r="C704" s="9" t="s">
        <v>246</v>
      </c>
      <c r="D704" s="9" t="s">
        <v>251</v>
      </c>
      <c r="E704" s="9" t="s">
        <v>261</v>
      </c>
      <c r="F704" s="9" t="s">
        <v>287</v>
      </c>
      <c r="G704" s="10">
        <v>0.9</v>
      </c>
      <c r="H704" s="15">
        <v>97</v>
      </c>
      <c r="I704" s="15">
        <v>65</v>
      </c>
      <c r="J704" s="15">
        <v>56</v>
      </c>
      <c r="K704" s="15">
        <v>455.7</v>
      </c>
    </row>
    <row r="705" spans="1:11" ht="15" customHeight="1" x14ac:dyDescent="0.2">
      <c r="A705" s="9" t="s">
        <v>495</v>
      </c>
      <c r="B705" s="9" t="s">
        <v>1572</v>
      </c>
      <c r="C705" s="9" t="s">
        <v>246</v>
      </c>
      <c r="D705" s="9" t="s">
        <v>251</v>
      </c>
      <c r="E705" s="9" t="s">
        <v>260</v>
      </c>
      <c r="F705" s="9" t="s">
        <v>287</v>
      </c>
      <c r="G705" s="10">
        <v>1</v>
      </c>
      <c r="H705" s="15">
        <v>68</v>
      </c>
      <c r="I705" s="15">
        <v>50</v>
      </c>
      <c r="J705" s="15">
        <v>38</v>
      </c>
      <c r="K705" s="15">
        <v>207.4</v>
      </c>
    </row>
    <row r="706" spans="1:11" ht="15" customHeight="1" x14ac:dyDescent="0.2">
      <c r="A706" s="9" t="s">
        <v>496</v>
      </c>
      <c r="B706" s="9" t="s">
        <v>1572</v>
      </c>
      <c r="C706" s="9" t="s">
        <v>246</v>
      </c>
      <c r="D706" s="9" t="s">
        <v>253</v>
      </c>
      <c r="E706" s="9" t="s">
        <v>262</v>
      </c>
      <c r="F706" s="9" t="s">
        <v>287</v>
      </c>
      <c r="G706" s="10">
        <v>0.4</v>
      </c>
      <c r="H706" s="15">
        <v>47</v>
      </c>
      <c r="I706" s="15">
        <v>38</v>
      </c>
      <c r="J706" s="15">
        <v>16</v>
      </c>
      <c r="K706" s="15">
        <v>40</v>
      </c>
    </row>
    <row r="707" spans="1:11" ht="15" customHeight="1" x14ac:dyDescent="0.2">
      <c r="A707" s="9" t="s">
        <v>497</v>
      </c>
      <c r="B707" s="9" t="s">
        <v>1572</v>
      </c>
      <c r="C707" s="9" t="s">
        <v>246</v>
      </c>
      <c r="D707" s="9" t="s">
        <v>251</v>
      </c>
      <c r="E707" s="9" t="s">
        <v>261</v>
      </c>
      <c r="F707" s="9" t="s">
        <v>287</v>
      </c>
      <c r="G707" s="10">
        <v>0.6</v>
      </c>
      <c r="H707" s="15">
        <v>47</v>
      </c>
      <c r="I707" s="15">
        <v>43</v>
      </c>
      <c r="J707" s="15">
        <v>30</v>
      </c>
      <c r="K707" s="15">
        <v>80</v>
      </c>
    </row>
    <row r="708" spans="1:11" ht="15" customHeight="1" x14ac:dyDescent="0.2">
      <c r="A708" s="9" t="s">
        <v>498</v>
      </c>
      <c r="B708" s="9" t="s">
        <v>1572</v>
      </c>
      <c r="C708" s="9" t="s">
        <v>246</v>
      </c>
      <c r="D708" s="9" t="s">
        <v>253</v>
      </c>
      <c r="E708" s="9" t="s">
        <v>261</v>
      </c>
      <c r="F708" s="9" t="s">
        <v>287</v>
      </c>
      <c r="G708" s="10">
        <v>0.45</v>
      </c>
      <c r="H708" s="15">
        <v>64</v>
      </c>
      <c r="I708" s="15">
        <v>59</v>
      </c>
      <c r="J708" s="15">
        <v>45</v>
      </c>
      <c r="K708" s="15">
        <v>150</v>
      </c>
    </row>
    <row r="709" spans="1:11" ht="15" customHeight="1" x14ac:dyDescent="0.2">
      <c r="A709" s="9" t="s">
        <v>499</v>
      </c>
      <c r="B709" s="9" t="s">
        <v>1572</v>
      </c>
      <c r="C709" s="9" t="s">
        <v>246</v>
      </c>
      <c r="D709" s="9" t="s">
        <v>251</v>
      </c>
      <c r="E709" s="9" t="s">
        <v>262</v>
      </c>
      <c r="F709" s="9" t="s">
        <v>287</v>
      </c>
      <c r="G709" s="10">
        <v>0.3</v>
      </c>
      <c r="H709" s="15">
        <v>55</v>
      </c>
      <c r="I709" s="15">
        <v>44</v>
      </c>
      <c r="J709" s="15">
        <v>37</v>
      </c>
      <c r="K709" s="15">
        <v>92.7</v>
      </c>
    </row>
    <row r="710" spans="1:11" ht="15" customHeight="1" x14ac:dyDescent="0.2">
      <c r="A710" s="9" t="s">
        <v>500</v>
      </c>
      <c r="B710" s="9" t="s">
        <v>1572</v>
      </c>
      <c r="C710" s="9" t="s">
        <v>246</v>
      </c>
      <c r="D710" s="9" t="s">
        <v>251</v>
      </c>
      <c r="E710" s="9" t="s">
        <v>263</v>
      </c>
      <c r="F710" s="9" t="s">
        <v>287</v>
      </c>
      <c r="G710" s="10">
        <v>0.4</v>
      </c>
      <c r="H710" s="15">
        <v>42</v>
      </c>
      <c r="I710" s="15">
        <v>38</v>
      </c>
      <c r="J710" s="15">
        <v>20</v>
      </c>
      <c r="K710" s="15">
        <v>41.2</v>
      </c>
    </row>
    <row r="711" spans="1:11" ht="15" customHeight="1" x14ac:dyDescent="0.2">
      <c r="A711" s="9" t="s">
        <v>501</v>
      </c>
      <c r="B711" s="9" t="s">
        <v>1572</v>
      </c>
      <c r="C711" s="9" t="s">
        <v>246</v>
      </c>
      <c r="D711" s="9" t="s">
        <v>251</v>
      </c>
      <c r="E711" s="9" t="s">
        <v>261</v>
      </c>
      <c r="F711" s="9" t="s">
        <v>287</v>
      </c>
      <c r="G711" s="10">
        <v>0.45</v>
      </c>
      <c r="H711" s="15">
        <v>62</v>
      </c>
      <c r="I711" s="15">
        <v>41</v>
      </c>
      <c r="J711" s="15">
        <v>34</v>
      </c>
      <c r="K711" s="15">
        <v>121</v>
      </c>
    </row>
    <row r="712" spans="1:11" ht="15" customHeight="1" x14ac:dyDescent="0.2">
      <c r="A712" s="9" t="s">
        <v>502</v>
      </c>
      <c r="B712" s="9" t="s">
        <v>1572</v>
      </c>
      <c r="C712" s="9" t="s">
        <v>246</v>
      </c>
      <c r="D712" s="9" t="s">
        <v>251</v>
      </c>
      <c r="E712" s="9" t="s">
        <v>261</v>
      </c>
      <c r="F712" s="9" t="s">
        <v>287</v>
      </c>
      <c r="G712" s="10">
        <v>0.65</v>
      </c>
      <c r="H712" s="15">
        <v>77</v>
      </c>
      <c r="I712" s="15">
        <v>45</v>
      </c>
      <c r="J712" s="15">
        <v>27</v>
      </c>
      <c r="K712" s="15">
        <v>97.3</v>
      </c>
    </row>
    <row r="713" spans="1:11" ht="15" customHeight="1" x14ac:dyDescent="0.2">
      <c r="A713" s="9" t="s">
        <v>503</v>
      </c>
      <c r="B713" s="9" t="s">
        <v>1572</v>
      </c>
      <c r="C713" s="9" t="s">
        <v>246</v>
      </c>
      <c r="D713" s="9" t="s">
        <v>251</v>
      </c>
      <c r="E713" s="9" t="s">
        <v>261</v>
      </c>
      <c r="F713" s="9" t="s">
        <v>287</v>
      </c>
      <c r="G713" s="10">
        <v>0.8</v>
      </c>
      <c r="H713" s="15">
        <v>63</v>
      </c>
      <c r="I713" s="15">
        <v>53</v>
      </c>
      <c r="J713" s="15">
        <v>30</v>
      </c>
      <c r="K713" s="15">
        <v>111.6</v>
      </c>
    </row>
    <row r="714" spans="1:11" ht="15" customHeight="1" x14ac:dyDescent="0.2">
      <c r="A714" s="9" t="s">
        <v>504</v>
      </c>
      <c r="B714" s="9" t="s">
        <v>1572</v>
      </c>
      <c r="C714" s="9" t="s">
        <v>246</v>
      </c>
      <c r="D714" s="9" t="s">
        <v>251</v>
      </c>
      <c r="E714" s="9" t="s">
        <v>261</v>
      </c>
      <c r="F714" s="9" t="s">
        <v>287</v>
      </c>
      <c r="G714" s="10">
        <v>0.4</v>
      </c>
      <c r="H714" s="15">
        <v>66</v>
      </c>
      <c r="I714" s="15">
        <v>35</v>
      </c>
      <c r="J714" s="15">
        <v>21</v>
      </c>
      <c r="K714" s="15">
        <v>58</v>
      </c>
    </row>
    <row r="715" spans="1:11" ht="15" customHeight="1" x14ac:dyDescent="0.2">
      <c r="A715" s="9" t="s">
        <v>505</v>
      </c>
      <c r="B715" s="9" t="s">
        <v>1572</v>
      </c>
      <c r="C715" s="9" t="s">
        <v>246</v>
      </c>
      <c r="D715" s="9" t="s">
        <v>253</v>
      </c>
      <c r="E715" s="9" t="s">
        <v>261</v>
      </c>
      <c r="F715" s="9" t="s">
        <v>287</v>
      </c>
      <c r="G715" s="10">
        <v>0.45</v>
      </c>
      <c r="H715" s="15">
        <v>50</v>
      </c>
      <c r="I715" s="15">
        <v>49</v>
      </c>
      <c r="J715" s="15">
        <v>18</v>
      </c>
      <c r="K715" s="15">
        <v>53.2</v>
      </c>
    </row>
    <row r="716" spans="1:11" ht="15" customHeight="1" x14ac:dyDescent="0.2">
      <c r="A716" s="9" t="s">
        <v>506</v>
      </c>
      <c r="B716" s="9" t="s">
        <v>1572</v>
      </c>
      <c r="C716" s="9" t="s">
        <v>246</v>
      </c>
      <c r="D716" s="9" t="s">
        <v>253</v>
      </c>
      <c r="E716" s="9" t="s">
        <v>263</v>
      </c>
      <c r="F716" s="9" t="s">
        <v>287</v>
      </c>
      <c r="G716" s="10">
        <v>0.6</v>
      </c>
      <c r="H716" s="15">
        <v>50</v>
      </c>
      <c r="I716" s="15">
        <v>48</v>
      </c>
      <c r="J716" s="15">
        <v>48</v>
      </c>
      <c r="K716" s="15">
        <v>229.4</v>
      </c>
    </row>
    <row r="717" spans="1:11" ht="15" customHeight="1" x14ac:dyDescent="0.2">
      <c r="A717" s="9" t="s">
        <v>634</v>
      </c>
      <c r="B717" s="9" t="s">
        <v>1572</v>
      </c>
      <c r="C717" s="9" t="s">
        <v>245</v>
      </c>
      <c r="D717" s="9" t="s">
        <v>251</v>
      </c>
      <c r="E717" s="9" t="s">
        <v>261</v>
      </c>
      <c r="F717" s="9" t="s">
        <v>287</v>
      </c>
      <c r="G717" s="10">
        <v>0.5</v>
      </c>
      <c r="H717" s="15">
        <v>65</v>
      </c>
      <c r="I717" s="15">
        <v>54</v>
      </c>
      <c r="J717" s="15">
        <v>33</v>
      </c>
      <c r="K717" s="15">
        <v>119.7</v>
      </c>
    </row>
    <row r="718" spans="1:11" ht="15" customHeight="1" x14ac:dyDescent="0.2">
      <c r="A718" s="9" t="s">
        <v>635</v>
      </c>
      <c r="B718" s="9" t="s">
        <v>1572</v>
      </c>
      <c r="C718" s="9" t="s">
        <v>246</v>
      </c>
      <c r="D718" s="9" t="s">
        <v>251</v>
      </c>
      <c r="E718" s="9" t="s">
        <v>261</v>
      </c>
      <c r="F718" s="9" t="s">
        <v>287</v>
      </c>
      <c r="G718" s="10">
        <v>0.7</v>
      </c>
      <c r="H718" s="15">
        <v>50</v>
      </c>
      <c r="I718" s="15">
        <v>33</v>
      </c>
      <c r="J718" s="15">
        <v>33</v>
      </c>
      <c r="K718" s="15">
        <v>90.4</v>
      </c>
    </row>
    <row r="719" spans="1:11" ht="15" customHeight="1" x14ac:dyDescent="0.2">
      <c r="A719" s="9" t="s">
        <v>637</v>
      </c>
      <c r="B719" s="9" t="s">
        <v>1572</v>
      </c>
      <c r="C719" s="9" t="s">
        <v>246</v>
      </c>
      <c r="D719" s="9" t="s">
        <v>751</v>
      </c>
      <c r="E719" s="9" t="s">
        <v>261</v>
      </c>
      <c r="F719" s="9" t="s">
        <v>287</v>
      </c>
      <c r="G719" s="10">
        <v>0.6</v>
      </c>
      <c r="H719" s="15">
        <v>70</v>
      </c>
      <c r="I719" s="15">
        <v>65</v>
      </c>
      <c r="J719" s="15">
        <v>44</v>
      </c>
      <c r="K719" s="15">
        <v>200.9</v>
      </c>
    </row>
    <row r="720" spans="1:11" ht="15" customHeight="1" x14ac:dyDescent="0.2">
      <c r="A720" s="9" t="s">
        <v>149</v>
      </c>
      <c r="B720" s="9" t="s">
        <v>1572</v>
      </c>
      <c r="C720" s="9" t="s">
        <v>246</v>
      </c>
      <c r="D720" s="9" t="s">
        <v>751</v>
      </c>
      <c r="E720" s="9" t="s">
        <v>263</v>
      </c>
      <c r="F720" s="9" t="s">
        <v>287</v>
      </c>
      <c r="G720" s="10">
        <v>0.65</v>
      </c>
      <c r="H720" s="15">
        <v>80</v>
      </c>
      <c r="I720" s="15">
        <v>70</v>
      </c>
      <c r="J720" s="15">
        <v>40</v>
      </c>
      <c r="K720" s="15">
        <v>273.39999999999998</v>
      </c>
    </row>
    <row r="721" spans="1:11" ht="15" customHeight="1" x14ac:dyDescent="0.2">
      <c r="A721" s="9" t="s">
        <v>140</v>
      </c>
      <c r="B721" s="9" t="s">
        <v>1572</v>
      </c>
      <c r="C721" s="9" t="s">
        <v>246</v>
      </c>
      <c r="D721" s="9" t="s">
        <v>258</v>
      </c>
      <c r="E721" s="9" t="s">
        <v>261</v>
      </c>
      <c r="F721" s="9" t="s">
        <v>287</v>
      </c>
      <c r="G721" s="10">
        <v>0.9</v>
      </c>
      <c r="H721" s="15">
        <v>69</v>
      </c>
      <c r="I721" s="15">
        <v>61</v>
      </c>
      <c r="J721" s="15">
        <v>55</v>
      </c>
      <c r="K721" s="15">
        <v>386.6</v>
      </c>
    </row>
    <row r="722" spans="1:11" ht="15" customHeight="1" x14ac:dyDescent="0.2">
      <c r="A722" s="9" t="s">
        <v>142</v>
      </c>
      <c r="B722" s="9" t="s">
        <v>1572</v>
      </c>
      <c r="C722" s="9" t="s">
        <v>246</v>
      </c>
      <c r="D722" s="9" t="s">
        <v>255</v>
      </c>
      <c r="E722" s="9" t="s">
        <v>262</v>
      </c>
      <c r="F722" s="9" t="s">
        <v>287</v>
      </c>
      <c r="G722" s="10">
        <v>0.4</v>
      </c>
      <c r="H722" s="15">
        <v>94</v>
      </c>
      <c r="I722" s="15">
        <v>85</v>
      </c>
      <c r="J722" s="15">
        <v>62</v>
      </c>
      <c r="K722" s="15">
        <v>962.5</v>
      </c>
    </row>
    <row r="723" spans="1:11" ht="15" customHeight="1" x14ac:dyDescent="0.2">
      <c r="A723" s="9" t="s">
        <v>1001</v>
      </c>
      <c r="B723" s="9" t="s">
        <v>1572</v>
      </c>
      <c r="C723" s="9" t="s">
        <v>246</v>
      </c>
      <c r="D723" s="9" t="s">
        <v>258</v>
      </c>
      <c r="E723" s="9" t="s">
        <v>261</v>
      </c>
      <c r="F723" s="9" t="s">
        <v>287</v>
      </c>
      <c r="G723" s="10">
        <v>0.6</v>
      </c>
      <c r="H723" s="15">
        <v>70</v>
      </c>
      <c r="I723" s="15">
        <v>52</v>
      </c>
      <c r="J723" s="15">
        <v>20</v>
      </c>
      <c r="K723" s="15">
        <v>132.1</v>
      </c>
    </row>
    <row r="724" spans="1:11" ht="15" customHeight="1" x14ac:dyDescent="0.2">
      <c r="A724" s="9" t="s">
        <v>210</v>
      </c>
      <c r="B724" s="9" t="s">
        <v>1572</v>
      </c>
      <c r="C724" s="9" t="s">
        <v>245</v>
      </c>
      <c r="D724" s="9" t="s">
        <v>707</v>
      </c>
      <c r="E724" s="9" t="s">
        <v>262</v>
      </c>
      <c r="F724" s="9" t="s">
        <v>287</v>
      </c>
      <c r="G724" s="10">
        <v>0.5</v>
      </c>
      <c r="H724" s="15">
        <v>76</v>
      </c>
      <c r="I724" s="15">
        <v>54</v>
      </c>
      <c r="J724" s="15">
        <v>64</v>
      </c>
      <c r="K724" s="15">
        <v>374.3</v>
      </c>
    </row>
    <row r="725" spans="1:11" ht="15" customHeight="1" x14ac:dyDescent="0.2">
      <c r="A725" s="9" t="s">
        <v>147</v>
      </c>
      <c r="B725" s="9" t="s">
        <v>1572</v>
      </c>
      <c r="C725" s="9" t="s">
        <v>246</v>
      </c>
      <c r="D725" s="9" t="s">
        <v>251</v>
      </c>
      <c r="E725" s="9" t="s">
        <v>263</v>
      </c>
      <c r="F725" s="9" t="s">
        <v>287</v>
      </c>
      <c r="G725" s="10">
        <v>0.55000000000000004</v>
      </c>
      <c r="H725" s="15">
        <v>73</v>
      </c>
      <c r="I725" s="15">
        <v>38</v>
      </c>
      <c r="J725" s="15">
        <v>38</v>
      </c>
      <c r="K725" s="15">
        <v>160.6</v>
      </c>
    </row>
    <row r="726" spans="1:11" ht="15" customHeight="1" x14ac:dyDescent="0.2">
      <c r="A726" t="s">
        <v>127</v>
      </c>
      <c r="B726" s="9" t="s">
        <v>1572</v>
      </c>
      <c r="C726" s="9" t="s">
        <v>245</v>
      </c>
      <c r="D726" s="9" t="s">
        <v>251</v>
      </c>
      <c r="E726" s="9" t="s">
        <v>261</v>
      </c>
      <c r="F726" s="9" t="s">
        <v>287</v>
      </c>
      <c r="G726" s="10">
        <v>0.4</v>
      </c>
      <c r="H726" s="15">
        <v>72</v>
      </c>
      <c r="I726" s="15">
        <v>61</v>
      </c>
      <c r="J726" s="15">
        <v>30</v>
      </c>
      <c r="K726" s="15">
        <v>313.2</v>
      </c>
    </row>
    <row r="727" spans="1:11" ht="15" customHeight="1" x14ac:dyDescent="0.2">
      <c r="A727" t="s">
        <v>132</v>
      </c>
      <c r="B727" s="9" t="s">
        <v>1572</v>
      </c>
      <c r="C727" s="9" t="s">
        <v>245</v>
      </c>
      <c r="D727" s="9" t="s">
        <v>251</v>
      </c>
      <c r="E727" s="9" t="s">
        <v>261</v>
      </c>
      <c r="F727" s="9" t="s">
        <v>287</v>
      </c>
      <c r="G727" s="10">
        <v>0.6</v>
      </c>
      <c r="H727" s="15">
        <v>56</v>
      </c>
      <c r="I727" s="15">
        <v>49</v>
      </c>
      <c r="J727" s="15">
        <v>30</v>
      </c>
      <c r="K727" s="15">
        <v>177.3</v>
      </c>
    </row>
    <row r="728" spans="1:11" ht="15" customHeight="1" x14ac:dyDescent="0.2">
      <c r="A728" s="9" t="s">
        <v>1452</v>
      </c>
      <c r="B728" s="9" t="s">
        <v>1572</v>
      </c>
      <c r="C728" s="9" t="s">
        <v>245</v>
      </c>
      <c r="D728" s="9" t="s">
        <v>253</v>
      </c>
      <c r="E728" s="9" t="s">
        <v>261</v>
      </c>
      <c r="F728" s="9" t="s">
        <v>287</v>
      </c>
      <c r="G728" s="10">
        <v>0.35</v>
      </c>
      <c r="H728" s="15">
        <v>84</v>
      </c>
      <c r="I728" s="15">
        <v>51</v>
      </c>
      <c r="J728" s="15">
        <v>26</v>
      </c>
      <c r="K728" s="15">
        <v>301.60000000000002</v>
      </c>
    </row>
    <row r="729" spans="1:11" ht="15" customHeight="1" x14ac:dyDescent="0.2">
      <c r="A729" s="9" t="s">
        <v>1453</v>
      </c>
      <c r="B729" s="9" t="s">
        <v>1572</v>
      </c>
      <c r="C729" s="9" t="s">
        <v>245</v>
      </c>
      <c r="D729" s="9" t="s">
        <v>253</v>
      </c>
      <c r="E729" s="9" t="s">
        <v>262</v>
      </c>
      <c r="F729" s="9" t="s">
        <v>287</v>
      </c>
      <c r="G729" s="10">
        <v>0.5</v>
      </c>
      <c r="H729" s="15">
        <v>85</v>
      </c>
      <c r="I729" s="15">
        <v>67</v>
      </c>
      <c r="J729" s="15">
        <v>39</v>
      </c>
      <c r="K729" s="15">
        <v>483.4</v>
      </c>
    </row>
    <row r="730" spans="1:11" ht="15" customHeight="1" x14ac:dyDescent="0.2">
      <c r="A730" s="9" t="s">
        <v>1454</v>
      </c>
      <c r="B730" s="9" t="s">
        <v>1572</v>
      </c>
      <c r="C730" s="9" t="s">
        <v>245</v>
      </c>
      <c r="D730" s="9" t="s">
        <v>253</v>
      </c>
      <c r="E730" s="9" t="s">
        <v>262</v>
      </c>
      <c r="F730" s="9" t="s">
        <v>287</v>
      </c>
      <c r="G730" s="10">
        <v>0.6</v>
      </c>
      <c r="H730" s="15">
        <v>49</v>
      </c>
      <c r="I730" s="15">
        <v>45</v>
      </c>
      <c r="J730" s="15">
        <v>26</v>
      </c>
      <c r="K730" s="15">
        <v>143.69999999999999</v>
      </c>
    </row>
    <row r="731" spans="1:11" ht="15" customHeight="1" x14ac:dyDescent="0.2">
      <c r="A731" s="9" t="s">
        <v>1455</v>
      </c>
      <c r="B731" s="9" t="s">
        <v>1572</v>
      </c>
      <c r="C731" s="9" t="s">
        <v>245</v>
      </c>
      <c r="D731" s="9" t="s">
        <v>253</v>
      </c>
      <c r="E731" s="9" t="s">
        <v>262</v>
      </c>
      <c r="F731" s="9" t="s">
        <v>287</v>
      </c>
      <c r="G731" s="10">
        <v>0.7</v>
      </c>
      <c r="H731" s="15">
        <v>85</v>
      </c>
      <c r="I731" s="15">
        <v>83</v>
      </c>
      <c r="J731" s="15">
        <v>39</v>
      </c>
      <c r="K731" s="15">
        <v>645.5</v>
      </c>
    </row>
    <row r="732" spans="1:11" ht="15" customHeight="1" x14ac:dyDescent="0.2">
      <c r="A732" s="9" t="s">
        <v>1456</v>
      </c>
      <c r="B732" s="9" t="s">
        <v>1572</v>
      </c>
      <c r="C732" s="9" t="s">
        <v>245</v>
      </c>
      <c r="D732" s="9" t="s">
        <v>253</v>
      </c>
      <c r="E732" s="9" t="s">
        <v>260</v>
      </c>
      <c r="F732" s="9" t="s">
        <v>287</v>
      </c>
      <c r="G732" s="10">
        <v>0.4</v>
      </c>
      <c r="H732" s="15">
        <v>92</v>
      </c>
      <c r="I732" s="15">
        <v>59</v>
      </c>
      <c r="J732" s="15">
        <v>43</v>
      </c>
      <c r="K732" s="15">
        <v>430.9</v>
      </c>
    </row>
    <row r="733" spans="1:11" ht="15" customHeight="1" x14ac:dyDescent="0.2">
      <c r="A733" s="9" t="s">
        <v>1457</v>
      </c>
      <c r="B733" s="9" t="s">
        <v>1572</v>
      </c>
      <c r="C733" s="9" t="s">
        <v>245</v>
      </c>
      <c r="D733" s="9" t="s">
        <v>253</v>
      </c>
      <c r="E733" s="9" t="s">
        <v>262</v>
      </c>
      <c r="F733" s="9" t="s">
        <v>287</v>
      </c>
      <c r="G733" s="10">
        <v>0.65</v>
      </c>
      <c r="H733" s="15">
        <v>54</v>
      </c>
      <c r="I733" s="15">
        <v>48</v>
      </c>
      <c r="J733" s="15">
        <v>33</v>
      </c>
      <c r="K733" s="15">
        <v>163.80000000000001</v>
      </c>
    </row>
    <row r="734" spans="1:11" ht="15" customHeight="1" x14ac:dyDescent="0.2">
      <c r="A734" s="9" t="s">
        <v>1458</v>
      </c>
      <c r="B734" s="9" t="s">
        <v>1572</v>
      </c>
      <c r="C734" s="9" t="s">
        <v>245</v>
      </c>
      <c r="D734" s="9" t="s">
        <v>253</v>
      </c>
      <c r="E734" s="9" t="s">
        <v>261</v>
      </c>
      <c r="F734" s="9" t="s">
        <v>287</v>
      </c>
      <c r="G734" s="10">
        <v>0.35</v>
      </c>
      <c r="H734" s="15">
        <v>61</v>
      </c>
      <c r="I734" s="15">
        <v>44</v>
      </c>
      <c r="J734" s="15">
        <v>44</v>
      </c>
      <c r="K734" s="15">
        <v>305.60000000000002</v>
      </c>
    </row>
    <row r="735" spans="1:11" ht="15" customHeight="1" x14ac:dyDescent="0.2">
      <c r="A735" s="9" t="s">
        <v>1459</v>
      </c>
      <c r="B735" s="9" t="s">
        <v>1572</v>
      </c>
      <c r="C735" s="9" t="s">
        <v>245</v>
      </c>
      <c r="D735" s="9" t="s">
        <v>253</v>
      </c>
      <c r="E735" s="9" t="s">
        <v>261</v>
      </c>
      <c r="F735" s="9" t="s">
        <v>287</v>
      </c>
      <c r="G735" s="10">
        <v>0.5</v>
      </c>
      <c r="H735" s="15">
        <v>52</v>
      </c>
      <c r="I735" s="15">
        <v>41</v>
      </c>
      <c r="J735" s="15">
        <v>25</v>
      </c>
      <c r="K735" s="15">
        <v>107.9</v>
      </c>
    </row>
    <row r="736" spans="1:11" ht="15" customHeight="1" x14ac:dyDescent="0.2">
      <c r="A736" s="9" t="s">
        <v>1460</v>
      </c>
      <c r="B736" s="9" t="s">
        <v>1572</v>
      </c>
      <c r="C736" s="9" t="s">
        <v>245</v>
      </c>
      <c r="D736" s="9" t="s">
        <v>253</v>
      </c>
      <c r="E736" s="9" t="s">
        <v>261</v>
      </c>
      <c r="F736" s="9" t="s">
        <v>287</v>
      </c>
      <c r="G736" s="10">
        <v>0.35</v>
      </c>
      <c r="H736" s="15">
        <v>50</v>
      </c>
      <c r="I736" s="15">
        <v>54</v>
      </c>
      <c r="J736" s="15">
        <v>40</v>
      </c>
      <c r="K736" s="15">
        <v>215.9</v>
      </c>
    </row>
    <row r="737" spans="1:11" ht="15" customHeight="1" x14ac:dyDescent="0.2">
      <c r="A737" s="9" t="s">
        <v>1461</v>
      </c>
      <c r="B737" s="9" t="s">
        <v>1572</v>
      </c>
      <c r="C737" s="9" t="s">
        <v>245</v>
      </c>
      <c r="D737" s="9" t="s">
        <v>253</v>
      </c>
      <c r="E737" s="9" t="s">
        <v>262</v>
      </c>
      <c r="F737" s="9" t="s">
        <v>287</v>
      </c>
      <c r="G737" s="10">
        <v>0.4</v>
      </c>
      <c r="H737" s="15">
        <v>68</v>
      </c>
      <c r="I737" s="15">
        <v>61</v>
      </c>
      <c r="J737" s="15">
        <v>41</v>
      </c>
      <c r="K737" s="15">
        <v>307.89999999999998</v>
      </c>
    </row>
    <row r="738" spans="1:11" ht="15" customHeight="1" x14ac:dyDescent="0.2">
      <c r="A738" s="9" t="s">
        <v>1462</v>
      </c>
      <c r="B738" s="9" t="s">
        <v>1572</v>
      </c>
      <c r="C738" s="9" t="s">
        <v>245</v>
      </c>
      <c r="D738" s="9" t="s">
        <v>253</v>
      </c>
      <c r="E738" s="9" t="s">
        <v>262</v>
      </c>
      <c r="F738" s="9" t="s">
        <v>287</v>
      </c>
      <c r="G738" s="10">
        <v>0.35</v>
      </c>
      <c r="H738" s="15">
        <v>43</v>
      </c>
      <c r="I738" s="15">
        <v>32</v>
      </c>
      <c r="J738" s="15">
        <v>10</v>
      </c>
      <c r="K738" s="15">
        <v>31.9</v>
      </c>
    </row>
    <row r="739" spans="1:11" ht="15" customHeight="1" x14ac:dyDescent="0.2">
      <c r="A739" s="9" t="s">
        <v>1463</v>
      </c>
      <c r="B739" s="9" t="s">
        <v>1572</v>
      </c>
      <c r="C739" s="9" t="s">
        <v>245</v>
      </c>
      <c r="D739" s="9" t="s">
        <v>253</v>
      </c>
      <c r="E739" s="9" t="s">
        <v>261</v>
      </c>
      <c r="F739" s="9" t="s">
        <v>287</v>
      </c>
      <c r="G739" s="10">
        <v>0.6</v>
      </c>
      <c r="H739" s="15">
        <v>66</v>
      </c>
      <c r="I739" s="15">
        <v>34</v>
      </c>
      <c r="J739" s="15">
        <v>22</v>
      </c>
      <c r="K739" s="15">
        <v>153.9</v>
      </c>
    </row>
    <row r="740" spans="1:11" ht="15" customHeight="1" x14ac:dyDescent="0.2">
      <c r="A740" s="9" t="s">
        <v>1464</v>
      </c>
      <c r="B740" s="9" t="s">
        <v>1572</v>
      </c>
      <c r="C740" s="9" t="s">
        <v>245</v>
      </c>
      <c r="D740" s="9" t="s">
        <v>253</v>
      </c>
      <c r="E740" s="9" t="s">
        <v>261</v>
      </c>
      <c r="F740" s="9" t="s">
        <v>287</v>
      </c>
      <c r="G740" s="10">
        <v>0.5</v>
      </c>
      <c r="H740" s="15">
        <v>62</v>
      </c>
      <c r="I740" s="15">
        <v>47</v>
      </c>
      <c r="J740" s="15">
        <v>37</v>
      </c>
      <c r="K740" s="15">
        <v>274.8</v>
      </c>
    </row>
    <row r="741" spans="1:11" ht="15" customHeight="1" x14ac:dyDescent="0.2">
      <c r="A741" s="9" t="s">
        <v>1465</v>
      </c>
      <c r="B741" s="9" t="s">
        <v>1572</v>
      </c>
      <c r="C741" s="9" t="s">
        <v>245</v>
      </c>
      <c r="D741" s="9" t="s">
        <v>253</v>
      </c>
      <c r="E741" s="9" t="s">
        <v>262</v>
      </c>
      <c r="F741" s="9" t="s">
        <v>287</v>
      </c>
      <c r="G741" s="10">
        <v>0.5</v>
      </c>
      <c r="H741" s="15">
        <v>65</v>
      </c>
      <c r="I741" s="15">
        <v>39</v>
      </c>
      <c r="J741" s="15">
        <v>25</v>
      </c>
      <c r="K741" s="15">
        <v>136.9</v>
      </c>
    </row>
    <row r="742" spans="1:11" ht="15" customHeight="1" x14ac:dyDescent="0.2">
      <c r="A742" s="9" t="s">
        <v>1466</v>
      </c>
      <c r="B742" s="9" t="s">
        <v>1572</v>
      </c>
      <c r="C742" s="9" t="s">
        <v>245</v>
      </c>
      <c r="D742" s="9" t="s">
        <v>253</v>
      </c>
      <c r="E742" s="9" t="s">
        <v>263</v>
      </c>
      <c r="F742" s="9" t="s">
        <v>287</v>
      </c>
      <c r="G742" s="10">
        <v>0.4</v>
      </c>
      <c r="H742" s="15">
        <v>49</v>
      </c>
      <c r="I742" s="15">
        <v>33</v>
      </c>
      <c r="J742" s="15">
        <v>31</v>
      </c>
      <c r="K742" s="15">
        <v>139</v>
      </c>
    </row>
    <row r="743" spans="1:11" ht="15" customHeight="1" x14ac:dyDescent="0.2">
      <c r="A743" s="9" t="s">
        <v>1467</v>
      </c>
      <c r="B743" s="9" t="s">
        <v>1572</v>
      </c>
      <c r="C743" s="9" t="s">
        <v>245</v>
      </c>
      <c r="D743" s="9" t="s">
        <v>253</v>
      </c>
      <c r="E743" s="9" t="s">
        <v>261</v>
      </c>
      <c r="F743" s="9" t="s">
        <v>287</v>
      </c>
      <c r="G743" s="10">
        <v>0.35</v>
      </c>
      <c r="H743" s="15">
        <v>73</v>
      </c>
      <c r="I743" s="15">
        <v>44</v>
      </c>
      <c r="J743" s="15">
        <v>15</v>
      </c>
      <c r="K743" s="15">
        <v>102.1</v>
      </c>
    </row>
    <row r="744" spans="1:11" ht="15" customHeight="1" x14ac:dyDescent="0.2">
      <c r="A744" s="9" t="s">
        <v>1468</v>
      </c>
      <c r="B744" s="9" t="s">
        <v>1572</v>
      </c>
      <c r="C744" s="9" t="s">
        <v>245</v>
      </c>
      <c r="D744" s="9" t="s">
        <v>253</v>
      </c>
      <c r="E744" s="9" t="s">
        <v>261</v>
      </c>
      <c r="F744" s="9" t="s">
        <v>287</v>
      </c>
      <c r="G744" s="10">
        <v>0.45</v>
      </c>
      <c r="H744" s="15">
        <v>41</v>
      </c>
      <c r="I744" s="15">
        <v>34</v>
      </c>
      <c r="J744" s="15">
        <v>12</v>
      </c>
      <c r="K744" s="15">
        <v>39</v>
      </c>
    </row>
    <row r="745" spans="1:11" ht="15" customHeight="1" x14ac:dyDescent="0.2">
      <c r="A745" s="9" t="s">
        <v>1469</v>
      </c>
      <c r="B745" s="9" t="s">
        <v>1572</v>
      </c>
      <c r="C745" s="9" t="s">
        <v>245</v>
      </c>
      <c r="D745" s="9" t="s">
        <v>253</v>
      </c>
      <c r="E745" s="9" t="s">
        <v>263</v>
      </c>
      <c r="F745" s="9" t="s">
        <v>287</v>
      </c>
      <c r="G745" s="10">
        <v>0.4</v>
      </c>
      <c r="H745" s="15">
        <v>70</v>
      </c>
      <c r="I745" s="15">
        <v>53</v>
      </c>
      <c r="J745" s="15">
        <v>39</v>
      </c>
      <c r="K745" s="15">
        <v>256.89999999999998</v>
      </c>
    </row>
    <row r="746" spans="1:11" ht="15" customHeight="1" x14ac:dyDescent="0.2">
      <c r="A746" s="9" t="s">
        <v>1470</v>
      </c>
      <c r="B746" s="9" t="s">
        <v>1572</v>
      </c>
      <c r="C746" s="9" t="s">
        <v>245</v>
      </c>
      <c r="D746" s="9" t="s">
        <v>253</v>
      </c>
      <c r="E746" s="9" t="s">
        <v>261</v>
      </c>
      <c r="F746" s="9" t="s">
        <v>287</v>
      </c>
      <c r="G746" s="10">
        <v>0.35</v>
      </c>
      <c r="H746" s="15">
        <v>54</v>
      </c>
      <c r="I746" s="15">
        <v>46</v>
      </c>
      <c r="J746" s="15">
        <v>30</v>
      </c>
      <c r="K746" s="15">
        <v>173.1</v>
      </c>
    </row>
    <row r="747" spans="1:11" ht="15" customHeight="1" x14ac:dyDescent="0.2">
      <c r="A747" s="9" t="s">
        <v>1471</v>
      </c>
      <c r="B747" s="9" t="s">
        <v>1572</v>
      </c>
      <c r="C747" s="9" t="s">
        <v>245</v>
      </c>
      <c r="D747" s="9" t="s">
        <v>253</v>
      </c>
      <c r="E747" s="9" t="s">
        <v>260</v>
      </c>
      <c r="F747" s="9" t="s">
        <v>287</v>
      </c>
      <c r="G747" s="10">
        <v>0.4</v>
      </c>
      <c r="H747" s="15">
        <v>46</v>
      </c>
      <c r="I747" s="15">
        <v>22</v>
      </c>
      <c r="J747" s="15">
        <v>7</v>
      </c>
      <c r="K747" s="15">
        <v>20.6</v>
      </c>
    </row>
    <row r="748" spans="1:11" ht="15" customHeight="1" x14ac:dyDescent="0.2">
      <c r="A748" s="9" t="s">
        <v>1472</v>
      </c>
      <c r="B748" s="9" t="s">
        <v>1572</v>
      </c>
      <c r="C748" s="9" t="s">
        <v>245</v>
      </c>
      <c r="D748" s="9" t="s">
        <v>253</v>
      </c>
      <c r="E748" s="9" t="s">
        <v>262</v>
      </c>
      <c r="F748" s="9" t="s">
        <v>287</v>
      </c>
      <c r="G748" s="10">
        <v>0.6</v>
      </c>
      <c r="H748" s="15">
        <v>66</v>
      </c>
      <c r="I748" s="15">
        <v>45</v>
      </c>
      <c r="J748" s="15">
        <v>33</v>
      </c>
      <c r="K748" s="15">
        <v>251.6</v>
      </c>
    </row>
    <row r="749" spans="1:11" ht="15" customHeight="1" x14ac:dyDescent="0.2">
      <c r="A749" s="9" t="s">
        <v>1473</v>
      </c>
      <c r="B749" s="9" t="s">
        <v>1572</v>
      </c>
      <c r="C749" s="9" t="s">
        <v>245</v>
      </c>
      <c r="D749" s="9" t="s">
        <v>253</v>
      </c>
      <c r="E749" s="9" t="s">
        <v>261</v>
      </c>
      <c r="F749" s="9" t="s">
        <v>287</v>
      </c>
      <c r="G749" s="10">
        <v>0.6</v>
      </c>
      <c r="H749" s="15">
        <v>75</v>
      </c>
      <c r="I749" s="15">
        <v>69</v>
      </c>
      <c r="J749" s="15">
        <v>34</v>
      </c>
      <c r="K749" s="15">
        <v>468.4</v>
      </c>
    </row>
    <row r="750" spans="1:11" ht="15" customHeight="1" x14ac:dyDescent="0.2">
      <c r="A750" s="9" t="s">
        <v>1474</v>
      </c>
      <c r="B750" s="9" t="s">
        <v>1572</v>
      </c>
      <c r="C750" s="9" t="s">
        <v>245</v>
      </c>
      <c r="D750" s="9" t="s">
        <v>253</v>
      </c>
      <c r="E750" s="9" t="s">
        <v>262</v>
      </c>
      <c r="F750" s="9" t="s">
        <v>287</v>
      </c>
      <c r="G750" s="10">
        <v>0.4</v>
      </c>
      <c r="H750" s="15">
        <v>62</v>
      </c>
      <c r="I750" s="15">
        <v>46</v>
      </c>
      <c r="J750" s="15">
        <v>22</v>
      </c>
      <c r="K750" s="15">
        <v>215</v>
      </c>
    </row>
    <row r="751" spans="1:11" ht="15" customHeight="1" x14ac:dyDescent="0.2">
      <c r="A751" s="9" t="s">
        <v>1475</v>
      </c>
      <c r="B751" s="9" t="s">
        <v>1572</v>
      </c>
      <c r="C751" s="9" t="s">
        <v>245</v>
      </c>
      <c r="D751" s="9" t="s">
        <v>253</v>
      </c>
      <c r="E751" s="9" t="s">
        <v>261</v>
      </c>
      <c r="F751" s="9" t="s">
        <v>287</v>
      </c>
      <c r="G751" s="10">
        <v>0.5</v>
      </c>
      <c r="H751" s="15">
        <v>34</v>
      </c>
      <c r="I751" s="15">
        <v>45</v>
      </c>
      <c r="J751" s="15">
        <v>18</v>
      </c>
      <c r="K751" s="15">
        <v>65.7</v>
      </c>
    </row>
    <row r="752" spans="1:11" ht="15" customHeight="1" x14ac:dyDescent="0.2">
      <c r="A752" s="9" t="s">
        <v>1476</v>
      </c>
      <c r="B752" s="9" t="s">
        <v>1572</v>
      </c>
      <c r="C752" s="9" t="s">
        <v>245</v>
      </c>
      <c r="D752" s="9" t="s">
        <v>253</v>
      </c>
      <c r="E752" s="9" t="s">
        <v>262</v>
      </c>
      <c r="F752" s="9" t="s">
        <v>287</v>
      </c>
      <c r="G752" s="10">
        <v>0.8</v>
      </c>
      <c r="H752" s="15">
        <v>70</v>
      </c>
      <c r="I752" s="15">
        <v>34</v>
      </c>
      <c r="J752" s="15">
        <v>31</v>
      </c>
      <c r="K752" s="15">
        <v>168.2</v>
      </c>
    </row>
    <row r="753" spans="1:11" ht="15" customHeight="1" x14ac:dyDescent="0.2">
      <c r="A753" s="9" t="s">
        <v>1477</v>
      </c>
      <c r="B753" s="9" t="s">
        <v>1572</v>
      </c>
      <c r="C753" s="9" t="s">
        <v>245</v>
      </c>
      <c r="D753" s="9" t="s">
        <v>253</v>
      </c>
      <c r="E753" s="9" t="s">
        <v>262</v>
      </c>
      <c r="F753" s="9" t="s">
        <v>287</v>
      </c>
      <c r="G753" s="10">
        <v>0.4</v>
      </c>
      <c r="H753" s="15">
        <v>77</v>
      </c>
      <c r="I753" s="15">
        <v>51</v>
      </c>
      <c r="J753" s="15">
        <v>29</v>
      </c>
      <c r="K753" s="15">
        <v>253.6</v>
      </c>
    </row>
    <row r="754" spans="1:11" ht="15" customHeight="1" x14ac:dyDescent="0.2">
      <c r="A754" s="9" t="s">
        <v>1478</v>
      </c>
      <c r="B754" s="9" t="s">
        <v>1572</v>
      </c>
      <c r="C754" s="9" t="s">
        <v>245</v>
      </c>
      <c r="D754" s="9" t="s">
        <v>253</v>
      </c>
      <c r="E754" s="9" t="s">
        <v>262</v>
      </c>
      <c r="F754" s="9" t="s">
        <v>287</v>
      </c>
      <c r="G754" s="10">
        <v>0.55000000000000004</v>
      </c>
      <c r="H754" s="15">
        <v>73</v>
      </c>
      <c r="I754" s="15">
        <v>45</v>
      </c>
      <c r="J754" s="15">
        <v>30</v>
      </c>
      <c r="K754" s="15">
        <v>198.8</v>
      </c>
    </row>
    <row r="755" spans="1:11" ht="15" customHeight="1" x14ac:dyDescent="0.2">
      <c r="A755" s="9" t="s">
        <v>1479</v>
      </c>
      <c r="B755" s="9" t="s">
        <v>1572</v>
      </c>
      <c r="C755" s="9" t="s">
        <v>245</v>
      </c>
      <c r="D755" s="9" t="s">
        <v>253</v>
      </c>
      <c r="E755" s="9" t="s">
        <v>262</v>
      </c>
      <c r="F755" s="9" t="s">
        <v>287</v>
      </c>
      <c r="G755" s="10">
        <v>0.4</v>
      </c>
      <c r="H755" s="15">
        <v>97</v>
      </c>
      <c r="I755" s="15">
        <v>53</v>
      </c>
      <c r="J755" s="15">
        <v>42</v>
      </c>
      <c r="K755" s="15">
        <v>493.4</v>
      </c>
    </row>
    <row r="756" spans="1:11" ht="15" customHeight="1" x14ac:dyDescent="0.2">
      <c r="A756" s="9" t="s">
        <v>1480</v>
      </c>
      <c r="B756" s="9" t="s">
        <v>1572</v>
      </c>
      <c r="C756" s="9" t="s">
        <v>245</v>
      </c>
      <c r="D756" s="9" t="s">
        <v>253</v>
      </c>
      <c r="E756" s="9" t="s">
        <v>261</v>
      </c>
      <c r="F756" s="9" t="s">
        <v>287</v>
      </c>
      <c r="G756" s="10">
        <v>0.8</v>
      </c>
      <c r="H756" s="15">
        <v>77</v>
      </c>
      <c r="I756" s="15">
        <v>52</v>
      </c>
      <c r="J756" s="15">
        <v>36</v>
      </c>
      <c r="K756" s="15">
        <v>293.89999999999998</v>
      </c>
    </row>
    <row r="757" spans="1:11" ht="15" customHeight="1" x14ac:dyDescent="0.2">
      <c r="A757" s="9" t="s">
        <v>1481</v>
      </c>
      <c r="B757" s="9" t="s">
        <v>1572</v>
      </c>
      <c r="C757" s="9" t="s">
        <v>246</v>
      </c>
      <c r="D757" s="9" t="s">
        <v>253</v>
      </c>
      <c r="E757" s="9" t="s">
        <v>263</v>
      </c>
      <c r="F757" s="9" t="s">
        <v>287</v>
      </c>
      <c r="G757" s="10">
        <v>0.3</v>
      </c>
      <c r="H757" s="15">
        <v>57</v>
      </c>
      <c r="I757" s="15">
        <v>52</v>
      </c>
      <c r="J757" s="15">
        <v>29</v>
      </c>
      <c r="K757" s="15">
        <v>190.5</v>
      </c>
    </row>
    <row r="758" spans="1:11" ht="15" customHeight="1" x14ac:dyDescent="0.2">
      <c r="A758" s="9" t="s">
        <v>1482</v>
      </c>
      <c r="B758" s="9" t="s">
        <v>1572</v>
      </c>
      <c r="C758" s="9" t="s">
        <v>246</v>
      </c>
      <c r="D758" s="9" t="s">
        <v>253</v>
      </c>
      <c r="E758" s="9" t="s">
        <v>262</v>
      </c>
      <c r="F758" s="9" t="s">
        <v>287</v>
      </c>
      <c r="G758" s="10">
        <v>0.65</v>
      </c>
      <c r="H758" s="15">
        <v>73</v>
      </c>
      <c r="I758" s="15">
        <v>43</v>
      </c>
      <c r="J758" s="15">
        <v>27</v>
      </c>
      <c r="K758" s="15">
        <v>231</v>
      </c>
    </row>
    <row r="759" spans="1:11" ht="15" customHeight="1" x14ac:dyDescent="0.2">
      <c r="A759" s="9" t="s">
        <v>1483</v>
      </c>
      <c r="B759" s="9" t="s">
        <v>1572</v>
      </c>
      <c r="C759" s="9" t="s">
        <v>246</v>
      </c>
      <c r="D759" s="9" t="s">
        <v>253</v>
      </c>
      <c r="E759" s="9" t="s">
        <v>262</v>
      </c>
      <c r="F759" s="9" t="s">
        <v>287</v>
      </c>
      <c r="G759" s="10">
        <v>0.6</v>
      </c>
      <c r="H759" s="15">
        <v>70</v>
      </c>
      <c r="I759" s="15">
        <v>66</v>
      </c>
      <c r="J759" s="15">
        <v>17</v>
      </c>
      <c r="K759" s="15">
        <v>195.9</v>
      </c>
    </row>
    <row r="760" spans="1:11" ht="15" customHeight="1" x14ac:dyDescent="0.2">
      <c r="A760" s="9" t="s">
        <v>1484</v>
      </c>
      <c r="B760" s="9" t="s">
        <v>1572</v>
      </c>
      <c r="C760" s="9" t="s">
        <v>246</v>
      </c>
      <c r="D760" s="9" t="s">
        <v>253</v>
      </c>
      <c r="E760" s="9" t="s">
        <v>262</v>
      </c>
      <c r="F760" s="9" t="s">
        <v>287</v>
      </c>
      <c r="G760" s="10">
        <v>0.8</v>
      </c>
      <c r="H760" s="15">
        <v>39</v>
      </c>
      <c r="I760" s="15">
        <v>44</v>
      </c>
      <c r="J760" s="15">
        <v>30</v>
      </c>
      <c r="K760" s="15">
        <v>135.9</v>
      </c>
    </row>
    <row r="761" spans="1:11" ht="15" customHeight="1" x14ac:dyDescent="0.2">
      <c r="A761" s="9" t="s">
        <v>1485</v>
      </c>
      <c r="B761" s="9" t="s">
        <v>1572</v>
      </c>
      <c r="C761" s="9" t="s">
        <v>246</v>
      </c>
      <c r="D761" s="9" t="s">
        <v>253</v>
      </c>
      <c r="E761" s="9" t="s">
        <v>261</v>
      </c>
      <c r="F761" s="9" t="s">
        <v>287</v>
      </c>
      <c r="G761" s="10">
        <v>0.6</v>
      </c>
      <c r="H761" s="15">
        <v>75</v>
      </c>
      <c r="I761" s="15">
        <v>58</v>
      </c>
      <c r="J761" s="15">
        <v>53</v>
      </c>
      <c r="K761" s="15">
        <v>628.29999999999995</v>
      </c>
    </row>
    <row r="762" spans="1:11" ht="15" customHeight="1" x14ac:dyDescent="0.2">
      <c r="A762" s="9" t="s">
        <v>1486</v>
      </c>
      <c r="B762" s="9" t="s">
        <v>1572</v>
      </c>
      <c r="C762" s="9" t="s">
        <v>246</v>
      </c>
      <c r="D762" s="9" t="s">
        <v>253</v>
      </c>
      <c r="E762" s="9" t="s">
        <v>262</v>
      </c>
      <c r="F762" s="9" t="s">
        <v>287</v>
      </c>
      <c r="G762" s="10">
        <v>0.8</v>
      </c>
      <c r="H762" s="15">
        <v>73</v>
      </c>
      <c r="I762" s="15">
        <v>53</v>
      </c>
      <c r="J762" s="15">
        <v>33</v>
      </c>
      <c r="K762" s="15">
        <v>268.7</v>
      </c>
    </row>
    <row r="763" spans="1:11" ht="15" customHeight="1" x14ac:dyDescent="0.2">
      <c r="A763" s="9" t="s">
        <v>1487</v>
      </c>
      <c r="B763" s="9" t="s">
        <v>1572</v>
      </c>
      <c r="C763" s="9" t="s">
        <v>246</v>
      </c>
      <c r="D763" s="9" t="s">
        <v>253</v>
      </c>
      <c r="E763" s="9" t="s">
        <v>261</v>
      </c>
      <c r="F763" s="9" t="s">
        <v>287</v>
      </c>
      <c r="G763" s="10">
        <v>0.4</v>
      </c>
      <c r="H763" s="15">
        <v>57</v>
      </c>
      <c r="I763" s="15">
        <v>51</v>
      </c>
      <c r="J763" s="15">
        <v>21</v>
      </c>
      <c r="K763" s="15">
        <v>89.6</v>
      </c>
    </row>
    <row r="764" spans="1:11" ht="15" customHeight="1" x14ac:dyDescent="0.2">
      <c r="A764" s="9" t="s">
        <v>1488</v>
      </c>
      <c r="B764" s="9" t="s">
        <v>1572</v>
      </c>
      <c r="C764" s="9" t="s">
        <v>246</v>
      </c>
      <c r="D764" s="9" t="s">
        <v>253</v>
      </c>
      <c r="E764" s="9" t="s">
        <v>261</v>
      </c>
      <c r="F764" s="9" t="s">
        <v>287</v>
      </c>
      <c r="G764" s="10">
        <v>0.6</v>
      </c>
      <c r="H764" s="15">
        <v>46</v>
      </c>
      <c r="I764" s="15">
        <v>49</v>
      </c>
      <c r="J764" s="15">
        <v>19</v>
      </c>
      <c r="K764" s="15">
        <v>82.5</v>
      </c>
    </row>
    <row r="765" spans="1:11" ht="15" customHeight="1" x14ac:dyDescent="0.2">
      <c r="A765" s="24" t="s">
        <v>1489</v>
      </c>
      <c r="B765" s="9" t="s">
        <v>1572</v>
      </c>
      <c r="C765" s="9" t="s">
        <v>246</v>
      </c>
      <c r="D765" s="9" t="s">
        <v>253</v>
      </c>
      <c r="E765" s="9" t="s">
        <v>261</v>
      </c>
      <c r="F765" s="9" t="s">
        <v>287</v>
      </c>
      <c r="G765" s="10">
        <v>0.25</v>
      </c>
      <c r="H765" s="15">
        <v>81</v>
      </c>
      <c r="I765" s="15">
        <v>44</v>
      </c>
      <c r="J765" s="15">
        <v>30</v>
      </c>
      <c r="K765" s="15">
        <v>290.3</v>
      </c>
    </row>
    <row r="766" spans="1:11" ht="15" customHeight="1" x14ac:dyDescent="0.2">
      <c r="A766" s="9" t="s">
        <v>1490</v>
      </c>
      <c r="B766" s="9" t="s">
        <v>1572</v>
      </c>
      <c r="C766" s="9" t="s">
        <v>246</v>
      </c>
      <c r="D766" s="9" t="s">
        <v>253</v>
      </c>
      <c r="E766" s="9" t="s">
        <v>261</v>
      </c>
      <c r="F766" s="9" t="s">
        <v>287</v>
      </c>
      <c r="G766" s="10">
        <v>0.7</v>
      </c>
      <c r="H766" s="15">
        <v>67</v>
      </c>
      <c r="I766" s="15">
        <v>55</v>
      </c>
      <c r="J766" s="15">
        <v>34</v>
      </c>
      <c r="K766" s="15">
        <v>268.3</v>
      </c>
    </row>
    <row r="767" spans="1:11" ht="15" customHeight="1" x14ac:dyDescent="0.2">
      <c r="A767" s="9" t="s">
        <v>1491</v>
      </c>
      <c r="B767" s="9" t="s">
        <v>1572</v>
      </c>
      <c r="C767" s="9" t="s">
        <v>246</v>
      </c>
      <c r="D767" s="9" t="s">
        <v>253</v>
      </c>
      <c r="E767" s="9" t="s">
        <v>262</v>
      </c>
      <c r="F767" s="9" t="s">
        <v>287</v>
      </c>
      <c r="G767" s="10">
        <v>0.4</v>
      </c>
      <c r="H767" s="15">
        <v>39</v>
      </c>
      <c r="I767" s="15">
        <v>24</v>
      </c>
      <c r="J767" s="15">
        <v>13</v>
      </c>
      <c r="K767" s="15">
        <v>21.9</v>
      </c>
    </row>
    <row r="768" spans="1:11" ht="15" customHeight="1" x14ac:dyDescent="0.2">
      <c r="A768" s="9" t="s">
        <v>1492</v>
      </c>
      <c r="B768" s="9" t="s">
        <v>1572</v>
      </c>
      <c r="C768" s="9" t="s">
        <v>246</v>
      </c>
      <c r="D768" s="9" t="s">
        <v>253</v>
      </c>
      <c r="E768" s="9" t="s">
        <v>262</v>
      </c>
      <c r="F768" s="9" t="s">
        <v>287</v>
      </c>
      <c r="G768" s="10">
        <v>0.55000000000000004</v>
      </c>
      <c r="H768" s="15">
        <v>52</v>
      </c>
      <c r="I768" s="15">
        <v>39</v>
      </c>
      <c r="J768" s="15">
        <v>20</v>
      </c>
      <c r="K768" s="15">
        <v>79.599999999999994</v>
      </c>
    </row>
    <row r="769" spans="1:11" ht="15" customHeight="1" x14ac:dyDescent="0.2">
      <c r="A769" s="9" t="s">
        <v>1493</v>
      </c>
      <c r="B769" s="9" t="s">
        <v>1572</v>
      </c>
      <c r="C769" s="9" t="s">
        <v>246</v>
      </c>
      <c r="D769" s="9" t="s">
        <v>253</v>
      </c>
      <c r="E769" s="9" t="s">
        <v>262</v>
      </c>
      <c r="F769" s="9" t="s">
        <v>287</v>
      </c>
      <c r="G769" s="10">
        <v>0.3</v>
      </c>
      <c r="H769" s="15">
        <v>67</v>
      </c>
      <c r="I769" s="15">
        <v>51</v>
      </c>
      <c r="J769" s="15">
        <v>33</v>
      </c>
      <c r="K769" s="15">
        <v>282</v>
      </c>
    </row>
    <row r="770" spans="1:11" ht="15" customHeight="1" x14ac:dyDescent="0.2">
      <c r="A770" s="9" t="s">
        <v>1494</v>
      </c>
      <c r="B770" s="9" t="s">
        <v>1572</v>
      </c>
      <c r="C770" s="9" t="s">
        <v>246</v>
      </c>
      <c r="D770" s="9" t="s">
        <v>253</v>
      </c>
      <c r="E770" s="9" t="s">
        <v>261</v>
      </c>
      <c r="F770" s="9" t="s">
        <v>287</v>
      </c>
      <c r="G770" s="10">
        <v>0.4</v>
      </c>
      <c r="H770" s="15">
        <v>56</v>
      </c>
      <c r="I770" s="15">
        <v>37</v>
      </c>
      <c r="J770" s="15">
        <v>28</v>
      </c>
      <c r="K770" s="15">
        <v>137.6</v>
      </c>
    </row>
    <row r="771" spans="1:11" ht="15" customHeight="1" x14ac:dyDescent="0.2">
      <c r="A771" s="9" t="s">
        <v>1495</v>
      </c>
      <c r="B771" s="9" t="s">
        <v>1572</v>
      </c>
      <c r="C771" s="9" t="s">
        <v>246</v>
      </c>
      <c r="D771" s="9" t="s">
        <v>253</v>
      </c>
      <c r="E771" s="9" t="s">
        <v>261</v>
      </c>
      <c r="F771" s="9" t="s">
        <v>287</v>
      </c>
      <c r="G771" s="10">
        <v>0.3</v>
      </c>
      <c r="H771" s="15">
        <v>64</v>
      </c>
      <c r="I771" s="15">
        <v>61</v>
      </c>
      <c r="J771" s="15">
        <v>23</v>
      </c>
      <c r="K771" s="15">
        <v>184.9</v>
      </c>
    </row>
    <row r="772" spans="1:11" ht="15" customHeight="1" x14ac:dyDescent="0.2">
      <c r="A772" s="9" t="s">
        <v>1496</v>
      </c>
      <c r="B772" s="9" t="s">
        <v>1572</v>
      </c>
      <c r="C772" s="9" t="s">
        <v>246</v>
      </c>
      <c r="D772" s="9" t="s">
        <v>253</v>
      </c>
      <c r="E772" s="9" t="s">
        <v>260</v>
      </c>
      <c r="F772" s="9" t="s">
        <v>287</v>
      </c>
      <c r="G772" s="10">
        <v>0.4</v>
      </c>
      <c r="H772" s="15">
        <v>56</v>
      </c>
      <c r="I772" s="15">
        <v>33</v>
      </c>
      <c r="J772" s="15">
        <v>26</v>
      </c>
      <c r="K772" s="15">
        <v>96.7</v>
      </c>
    </row>
    <row r="773" spans="1:11" ht="15" customHeight="1" x14ac:dyDescent="0.2">
      <c r="A773" s="9" t="s">
        <v>1497</v>
      </c>
      <c r="B773" s="9" t="s">
        <v>1572</v>
      </c>
      <c r="C773" s="9" t="s">
        <v>246</v>
      </c>
      <c r="D773" s="9" t="s">
        <v>253</v>
      </c>
      <c r="E773" s="9" t="s">
        <v>261</v>
      </c>
      <c r="F773" s="9" t="s">
        <v>287</v>
      </c>
      <c r="G773" s="10">
        <v>0.7</v>
      </c>
      <c r="H773" s="15">
        <v>117</v>
      </c>
      <c r="I773" s="15">
        <v>73</v>
      </c>
      <c r="J773" s="15">
        <v>43</v>
      </c>
      <c r="K773" s="15">
        <v>735.9</v>
      </c>
    </row>
    <row r="774" spans="1:11" ht="15" customHeight="1" x14ac:dyDescent="0.2">
      <c r="A774" s="9" t="s">
        <v>1498</v>
      </c>
      <c r="B774" s="9" t="s">
        <v>1572</v>
      </c>
      <c r="C774" s="9" t="s">
        <v>246</v>
      </c>
      <c r="D774" s="9" t="s">
        <v>253</v>
      </c>
      <c r="E774" s="9" t="s">
        <v>261</v>
      </c>
      <c r="F774" s="9" t="s">
        <v>287</v>
      </c>
      <c r="G774" s="10">
        <v>0.6</v>
      </c>
      <c r="H774" s="15">
        <v>45</v>
      </c>
      <c r="I774" s="15">
        <v>37</v>
      </c>
      <c r="J774" s="15">
        <v>30</v>
      </c>
      <c r="K774" s="15">
        <v>91</v>
      </c>
    </row>
    <row r="775" spans="1:11" ht="15" customHeight="1" x14ac:dyDescent="0.2">
      <c r="A775" s="9" t="s">
        <v>1499</v>
      </c>
      <c r="B775" s="9" t="s">
        <v>1572</v>
      </c>
      <c r="C775" s="9" t="s">
        <v>246</v>
      </c>
      <c r="D775" s="9" t="s">
        <v>253</v>
      </c>
      <c r="E775" s="9" t="s">
        <v>261</v>
      </c>
      <c r="F775" s="9" t="s">
        <v>287</v>
      </c>
      <c r="G775" s="10">
        <v>0.9</v>
      </c>
      <c r="H775" s="15">
        <v>79</v>
      </c>
      <c r="I775" s="15">
        <v>51</v>
      </c>
      <c r="J775" s="15">
        <v>52</v>
      </c>
      <c r="K775" s="15">
        <v>602.4</v>
      </c>
    </row>
    <row r="776" spans="1:11" ht="15" customHeight="1" x14ac:dyDescent="0.2">
      <c r="A776" s="9" t="s">
        <v>1500</v>
      </c>
      <c r="B776" s="9" t="s">
        <v>1572</v>
      </c>
      <c r="C776" s="9" t="s">
        <v>246</v>
      </c>
      <c r="D776" s="9" t="s">
        <v>253</v>
      </c>
      <c r="E776" s="9" t="s">
        <v>261</v>
      </c>
      <c r="F776" s="9" t="s">
        <v>287</v>
      </c>
      <c r="G776" s="10">
        <v>0.3</v>
      </c>
      <c r="H776" s="15">
        <v>70</v>
      </c>
      <c r="I776" s="15">
        <v>46</v>
      </c>
      <c r="J776" s="15">
        <v>35</v>
      </c>
      <c r="K776" s="15">
        <v>228.6</v>
      </c>
    </row>
    <row r="777" spans="1:11" ht="15" customHeight="1" x14ac:dyDescent="0.2">
      <c r="A777" s="9" t="s">
        <v>1501</v>
      </c>
      <c r="B777" s="9" t="s">
        <v>1572</v>
      </c>
      <c r="C777" s="9" t="s">
        <v>246</v>
      </c>
      <c r="D777" s="9" t="s">
        <v>253</v>
      </c>
      <c r="E777" s="9" t="s">
        <v>261</v>
      </c>
      <c r="F777" s="9" t="s">
        <v>287</v>
      </c>
      <c r="G777" s="10">
        <v>0.7</v>
      </c>
      <c r="H777" s="15">
        <v>60</v>
      </c>
      <c r="I777" s="15">
        <v>41</v>
      </c>
      <c r="J777" s="15">
        <v>28</v>
      </c>
      <c r="K777" s="15">
        <v>184.4</v>
      </c>
    </row>
    <row r="778" spans="1:11" ht="15" customHeight="1" x14ac:dyDescent="0.2">
      <c r="A778" s="9" t="s">
        <v>1502</v>
      </c>
      <c r="B778" s="9" t="s">
        <v>1572</v>
      </c>
      <c r="C778" s="9" t="s">
        <v>246</v>
      </c>
      <c r="D778" s="9" t="s">
        <v>253</v>
      </c>
      <c r="E778" s="9" t="s">
        <v>261</v>
      </c>
      <c r="F778" s="9" t="s">
        <v>287</v>
      </c>
      <c r="G778" s="10">
        <v>0.7</v>
      </c>
      <c r="H778" s="15">
        <v>33</v>
      </c>
      <c r="I778" s="15">
        <v>23</v>
      </c>
      <c r="J778" s="15">
        <v>12</v>
      </c>
      <c r="K778" s="15">
        <v>25.8</v>
      </c>
    </row>
    <row r="779" spans="1:11" ht="15" customHeight="1" x14ac:dyDescent="0.2">
      <c r="A779" s="9" t="s">
        <v>1503</v>
      </c>
      <c r="B779" s="9" t="s">
        <v>1572</v>
      </c>
      <c r="C779" s="9" t="s">
        <v>246</v>
      </c>
      <c r="D779" s="9" t="s">
        <v>253</v>
      </c>
      <c r="E779" s="9" t="s">
        <v>261</v>
      </c>
      <c r="F779" s="9" t="s">
        <v>287</v>
      </c>
      <c r="G779" s="10">
        <v>0.2</v>
      </c>
      <c r="H779" s="15">
        <v>58</v>
      </c>
      <c r="I779" s="15">
        <v>28</v>
      </c>
      <c r="J779" s="15">
        <v>21</v>
      </c>
      <c r="K779" s="15">
        <v>87.8</v>
      </c>
    </row>
    <row r="780" spans="1:11" ht="15" customHeight="1" x14ac:dyDescent="0.2">
      <c r="A780" s="9" t="s">
        <v>1504</v>
      </c>
      <c r="B780" s="9" t="s">
        <v>1572</v>
      </c>
      <c r="C780" s="9" t="s">
        <v>246</v>
      </c>
      <c r="D780" s="9" t="s">
        <v>253</v>
      </c>
      <c r="E780" s="9" t="s">
        <v>261</v>
      </c>
      <c r="F780" s="9" t="s">
        <v>287</v>
      </c>
      <c r="G780" s="10">
        <v>0.4</v>
      </c>
      <c r="H780" s="15">
        <v>52</v>
      </c>
      <c r="I780" s="15">
        <v>37</v>
      </c>
      <c r="J780" s="15">
        <v>39</v>
      </c>
      <c r="K780" s="15">
        <v>149.30000000000001</v>
      </c>
    </row>
    <row r="781" spans="1:11" ht="15" customHeight="1" x14ac:dyDescent="0.2">
      <c r="A781" s="9" t="s">
        <v>1505</v>
      </c>
      <c r="B781" s="9" t="s">
        <v>1572</v>
      </c>
      <c r="C781" s="9" t="s">
        <v>246</v>
      </c>
      <c r="D781" s="9" t="s">
        <v>253</v>
      </c>
      <c r="E781" s="9" t="s">
        <v>262</v>
      </c>
      <c r="F781" s="9" t="s">
        <v>287</v>
      </c>
      <c r="G781" s="10">
        <v>0.6</v>
      </c>
      <c r="H781" s="15">
        <v>82</v>
      </c>
      <c r="I781" s="15">
        <v>64</v>
      </c>
      <c r="J781" s="15">
        <v>36</v>
      </c>
      <c r="K781" s="15">
        <v>436.8</v>
      </c>
    </row>
    <row r="782" spans="1:11" ht="15" customHeight="1" x14ac:dyDescent="0.2">
      <c r="A782" s="9" t="s">
        <v>1506</v>
      </c>
      <c r="B782" s="9" t="s">
        <v>1572</v>
      </c>
      <c r="C782" s="9" t="s">
        <v>246</v>
      </c>
      <c r="D782" s="9" t="s">
        <v>253</v>
      </c>
      <c r="E782" s="9" t="s">
        <v>261</v>
      </c>
      <c r="F782" s="9" t="s">
        <v>287</v>
      </c>
      <c r="G782" s="10">
        <v>0.05</v>
      </c>
      <c r="H782" s="15">
        <v>68</v>
      </c>
      <c r="I782" s="15">
        <v>47</v>
      </c>
      <c r="J782" s="15">
        <v>31</v>
      </c>
      <c r="K782" s="15">
        <v>271.89999999999998</v>
      </c>
    </row>
    <row r="783" spans="1:11" ht="15" customHeight="1" x14ac:dyDescent="0.2">
      <c r="A783" s="9" t="s">
        <v>1507</v>
      </c>
      <c r="B783" s="9" t="s">
        <v>1572</v>
      </c>
      <c r="C783" s="9" t="s">
        <v>246</v>
      </c>
      <c r="D783" s="9" t="s">
        <v>253</v>
      </c>
      <c r="E783" s="9" t="s">
        <v>261</v>
      </c>
      <c r="F783" s="9" t="s">
        <v>287</v>
      </c>
      <c r="G783" s="10">
        <v>0.4</v>
      </c>
      <c r="H783" s="15">
        <v>69</v>
      </c>
      <c r="I783" s="15">
        <v>37</v>
      </c>
      <c r="J783" s="15">
        <v>20</v>
      </c>
      <c r="K783" s="15">
        <v>93.3</v>
      </c>
    </row>
    <row r="784" spans="1:11" ht="15" customHeight="1" x14ac:dyDescent="0.2">
      <c r="A784" s="9" t="s">
        <v>1508</v>
      </c>
      <c r="B784" s="9" t="s">
        <v>1572</v>
      </c>
      <c r="C784" s="9" t="s">
        <v>246</v>
      </c>
      <c r="D784" s="9" t="s">
        <v>253</v>
      </c>
      <c r="E784" s="9" t="s">
        <v>261</v>
      </c>
      <c r="F784" s="9" t="s">
        <v>287</v>
      </c>
      <c r="G784" s="10">
        <v>0.4</v>
      </c>
      <c r="H784" s="15">
        <v>75</v>
      </c>
      <c r="I784" s="15">
        <v>42</v>
      </c>
      <c r="J784" s="15">
        <v>33</v>
      </c>
      <c r="K784" s="15">
        <v>236.9</v>
      </c>
    </row>
    <row r="785" spans="1:11" ht="15" customHeight="1" x14ac:dyDescent="0.2">
      <c r="A785" s="9" t="s">
        <v>1509</v>
      </c>
      <c r="B785" s="9" t="s">
        <v>1572</v>
      </c>
      <c r="C785" s="9" t="s">
        <v>246</v>
      </c>
      <c r="D785" s="9" t="s">
        <v>253</v>
      </c>
      <c r="E785" s="9" t="s">
        <v>261</v>
      </c>
      <c r="F785" s="9" t="s">
        <v>287</v>
      </c>
      <c r="G785" s="10">
        <v>0.5</v>
      </c>
      <c r="H785" s="15">
        <v>86</v>
      </c>
      <c r="I785" s="15">
        <v>56</v>
      </c>
      <c r="J785" s="15">
        <v>41</v>
      </c>
      <c r="K785" s="15">
        <v>343.4</v>
      </c>
    </row>
    <row r="786" spans="1:11" ht="15" customHeight="1" x14ac:dyDescent="0.2">
      <c r="A786" s="9" t="s">
        <v>507</v>
      </c>
      <c r="B786" s="9" t="s">
        <v>1573</v>
      </c>
      <c r="C786" s="9" t="s">
        <v>247</v>
      </c>
      <c r="D786" s="9" t="s">
        <v>251</v>
      </c>
      <c r="E786" s="9" t="s">
        <v>261</v>
      </c>
      <c r="F786" s="9" t="s">
        <v>287</v>
      </c>
      <c r="G786" s="10">
        <v>0.6</v>
      </c>
      <c r="H786" s="15">
        <v>63</v>
      </c>
      <c r="I786" s="15">
        <v>44</v>
      </c>
      <c r="J786" s="15">
        <v>34</v>
      </c>
      <c r="K786" s="15">
        <v>96.6</v>
      </c>
    </row>
    <row r="787" spans="1:11" ht="15" customHeight="1" x14ac:dyDescent="0.2">
      <c r="A787" s="9" t="s">
        <v>508</v>
      </c>
      <c r="B787" s="9" t="s">
        <v>1573</v>
      </c>
      <c r="C787" s="9" t="s">
        <v>247</v>
      </c>
      <c r="D787" s="9" t="s">
        <v>251</v>
      </c>
      <c r="E787" s="9" t="s">
        <v>262</v>
      </c>
      <c r="F787" s="9" t="s">
        <v>287</v>
      </c>
      <c r="G787" s="10">
        <v>0.45</v>
      </c>
      <c r="H787" s="15">
        <v>47</v>
      </c>
      <c r="I787" s="15">
        <v>33</v>
      </c>
      <c r="J787" s="15">
        <v>30</v>
      </c>
      <c r="K787" s="15">
        <v>77.400000000000006</v>
      </c>
    </row>
    <row r="788" spans="1:11" ht="15" customHeight="1" x14ac:dyDescent="0.2">
      <c r="A788" s="9" t="s">
        <v>509</v>
      </c>
      <c r="B788" s="9" t="s">
        <v>1573</v>
      </c>
      <c r="C788" s="9" t="s">
        <v>247</v>
      </c>
      <c r="D788" s="9" t="s">
        <v>258</v>
      </c>
      <c r="E788" s="9" t="s">
        <v>261</v>
      </c>
      <c r="F788" s="9" t="s">
        <v>287</v>
      </c>
      <c r="G788" s="10">
        <v>0.6</v>
      </c>
      <c r="H788" s="15">
        <v>85</v>
      </c>
      <c r="I788" s="15">
        <v>80</v>
      </c>
      <c r="J788" s="15">
        <v>59</v>
      </c>
      <c r="K788" s="15">
        <v>513.9</v>
      </c>
    </row>
    <row r="789" spans="1:11" ht="15" customHeight="1" x14ac:dyDescent="0.2">
      <c r="A789" s="9" t="s">
        <v>511</v>
      </c>
      <c r="B789" s="9" t="s">
        <v>1573</v>
      </c>
      <c r="C789" s="9" t="s">
        <v>247</v>
      </c>
      <c r="D789" s="9" t="s">
        <v>253</v>
      </c>
      <c r="E789" s="9" t="s">
        <v>262</v>
      </c>
      <c r="F789" s="9" t="s">
        <v>287</v>
      </c>
      <c r="G789" s="10">
        <v>0.4</v>
      </c>
      <c r="H789" s="15">
        <v>73</v>
      </c>
      <c r="I789" s="15">
        <v>57</v>
      </c>
      <c r="J789" s="15">
        <v>39</v>
      </c>
      <c r="K789" s="15">
        <v>248.8</v>
      </c>
    </row>
    <row r="790" spans="1:11" ht="15" customHeight="1" x14ac:dyDescent="0.2">
      <c r="A790" s="9" t="s">
        <v>512</v>
      </c>
      <c r="B790" s="9" t="s">
        <v>1573</v>
      </c>
      <c r="C790" s="9" t="s">
        <v>247</v>
      </c>
      <c r="D790" s="9" t="s">
        <v>251</v>
      </c>
      <c r="E790" s="9" t="s">
        <v>262</v>
      </c>
      <c r="F790" s="9" t="s">
        <v>287</v>
      </c>
      <c r="G790" s="10">
        <v>0.35</v>
      </c>
      <c r="H790" s="15">
        <v>43</v>
      </c>
      <c r="I790" s="15">
        <v>37</v>
      </c>
      <c r="J790" s="15">
        <v>32</v>
      </c>
      <c r="K790" s="15">
        <v>51.1</v>
      </c>
    </row>
    <row r="791" spans="1:11" ht="15" customHeight="1" x14ac:dyDescent="0.2">
      <c r="A791" s="9" t="s">
        <v>513</v>
      </c>
      <c r="B791" s="9" t="s">
        <v>1573</v>
      </c>
      <c r="C791" s="9" t="s">
        <v>247</v>
      </c>
      <c r="D791" s="9" t="s">
        <v>251</v>
      </c>
      <c r="E791" s="9" t="s">
        <v>260</v>
      </c>
      <c r="F791" s="9" t="s">
        <v>287</v>
      </c>
      <c r="G791" s="10">
        <v>0.6</v>
      </c>
      <c r="H791" s="15">
        <v>40</v>
      </c>
      <c r="I791" s="15">
        <v>34</v>
      </c>
      <c r="J791" s="15">
        <v>18</v>
      </c>
      <c r="K791" s="15">
        <v>27.8</v>
      </c>
    </row>
    <row r="792" spans="1:11" ht="15" customHeight="1" x14ac:dyDescent="0.2">
      <c r="A792" s="9" t="s">
        <v>514</v>
      </c>
      <c r="B792" s="9" t="s">
        <v>1573</v>
      </c>
      <c r="C792" s="9" t="s">
        <v>247</v>
      </c>
      <c r="D792" s="9" t="s">
        <v>253</v>
      </c>
      <c r="E792" s="9" t="s">
        <v>261</v>
      </c>
      <c r="F792" s="9" t="s">
        <v>287</v>
      </c>
      <c r="G792" s="10">
        <v>0.6</v>
      </c>
      <c r="H792" s="15">
        <v>61</v>
      </c>
      <c r="I792" s="15">
        <v>40</v>
      </c>
      <c r="J792" s="15">
        <v>33</v>
      </c>
      <c r="K792" s="15">
        <v>135.69999999999999</v>
      </c>
    </row>
    <row r="793" spans="1:11" ht="15" customHeight="1" x14ac:dyDescent="0.2">
      <c r="A793" s="9" t="s">
        <v>515</v>
      </c>
      <c r="B793" s="9" t="s">
        <v>1573</v>
      </c>
      <c r="C793" s="9" t="s">
        <v>247</v>
      </c>
      <c r="D793" s="9" t="s">
        <v>251</v>
      </c>
      <c r="E793" s="9" t="s">
        <v>261</v>
      </c>
      <c r="F793" s="9" t="s">
        <v>287</v>
      </c>
      <c r="G793" s="10">
        <v>0.5</v>
      </c>
      <c r="H793" s="15">
        <v>35</v>
      </c>
      <c r="I793" s="15">
        <v>32</v>
      </c>
      <c r="J793" s="15">
        <v>15</v>
      </c>
      <c r="K793" s="15">
        <v>21.1</v>
      </c>
    </row>
    <row r="794" spans="1:11" ht="15" customHeight="1" x14ac:dyDescent="0.2">
      <c r="A794" s="9" t="s">
        <v>516</v>
      </c>
      <c r="B794" s="9" t="s">
        <v>1573</v>
      </c>
      <c r="C794" s="9" t="s">
        <v>247</v>
      </c>
      <c r="D794" s="9" t="s">
        <v>251</v>
      </c>
      <c r="E794" s="9" t="s">
        <v>262</v>
      </c>
      <c r="F794" s="9" t="s">
        <v>287</v>
      </c>
      <c r="G794" s="10">
        <v>0.4</v>
      </c>
      <c r="H794" s="15">
        <v>40</v>
      </c>
      <c r="I794" s="15">
        <v>30</v>
      </c>
      <c r="J794" s="15">
        <v>22</v>
      </c>
      <c r="K794" s="15">
        <v>33.5</v>
      </c>
    </row>
    <row r="795" spans="1:11" ht="15" customHeight="1" x14ac:dyDescent="0.2">
      <c r="A795" s="9" t="s">
        <v>517</v>
      </c>
      <c r="B795" s="9" t="s">
        <v>1573</v>
      </c>
      <c r="C795" s="9" t="s">
        <v>247</v>
      </c>
      <c r="D795" s="9" t="s">
        <v>258</v>
      </c>
      <c r="E795" s="9" t="s">
        <v>263</v>
      </c>
      <c r="F795" s="9" t="s">
        <v>287</v>
      </c>
      <c r="G795" s="10">
        <v>0.7</v>
      </c>
      <c r="H795" s="15">
        <v>77</v>
      </c>
      <c r="I795" s="15">
        <v>58</v>
      </c>
      <c r="J795" s="15">
        <v>34</v>
      </c>
      <c r="K795" s="15">
        <v>185</v>
      </c>
    </row>
    <row r="796" spans="1:11" ht="15" customHeight="1" x14ac:dyDescent="0.2">
      <c r="A796" s="9" t="s">
        <v>518</v>
      </c>
      <c r="B796" s="9" t="s">
        <v>1573</v>
      </c>
      <c r="C796" s="9" t="s">
        <v>247</v>
      </c>
      <c r="D796" s="9" t="s">
        <v>251</v>
      </c>
      <c r="E796" s="9" t="s">
        <v>261</v>
      </c>
      <c r="F796" s="9" t="s">
        <v>287</v>
      </c>
      <c r="G796" s="10">
        <v>0.55000000000000004</v>
      </c>
      <c r="H796" s="15">
        <v>78</v>
      </c>
      <c r="I796" s="15">
        <v>55</v>
      </c>
      <c r="J796" s="15">
        <v>48</v>
      </c>
      <c r="K796" s="15">
        <v>261.60000000000002</v>
      </c>
    </row>
    <row r="797" spans="1:11" ht="15" customHeight="1" x14ac:dyDescent="0.2">
      <c r="A797" s="9" t="s">
        <v>519</v>
      </c>
      <c r="B797" s="9" t="s">
        <v>1573</v>
      </c>
      <c r="C797" s="9" t="s">
        <v>247</v>
      </c>
      <c r="D797" s="9" t="s">
        <v>258</v>
      </c>
      <c r="E797" s="9" t="s">
        <v>263</v>
      </c>
      <c r="F797" s="9" t="s">
        <v>287</v>
      </c>
      <c r="G797" s="10">
        <v>0.3</v>
      </c>
      <c r="H797" s="15">
        <v>40</v>
      </c>
      <c r="I797" s="15">
        <v>35</v>
      </c>
      <c r="J797" s="15">
        <v>25</v>
      </c>
      <c r="K797" s="15">
        <v>63.4</v>
      </c>
    </row>
    <row r="798" spans="1:11" ht="15" customHeight="1" x14ac:dyDescent="0.2">
      <c r="A798" s="9" t="s">
        <v>520</v>
      </c>
      <c r="B798" s="9" t="s">
        <v>1573</v>
      </c>
      <c r="C798" s="9" t="s">
        <v>247</v>
      </c>
      <c r="D798" s="9" t="s">
        <v>258</v>
      </c>
      <c r="E798" s="9" t="s">
        <v>260</v>
      </c>
      <c r="F798" s="9" t="s">
        <v>287</v>
      </c>
      <c r="G798" s="10">
        <v>0.4</v>
      </c>
      <c r="H798" s="15">
        <v>67</v>
      </c>
      <c r="I798" s="15">
        <v>51</v>
      </c>
      <c r="J798" s="15">
        <v>33</v>
      </c>
      <c r="K798" s="15">
        <v>138.19999999999999</v>
      </c>
    </row>
    <row r="799" spans="1:11" ht="15" customHeight="1" x14ac:dyDescent="0.2">
      <c r="A799" s="9" t="s">
        <v>521</v>
      </c>
      <c r="B799" s="9" t="s">
        <v>1573</v>
      </c>
      <c r="C799" s="9" t="s">
        <v>247</v>
      </c>
      <c r="D799" s="9" t="s">
        <v>251</v>
      </c>
      <c r="E799" s="9" t="s">
        <v>260</v>
      </c>
      <c r="F799" s="9" t="s">
        <v>287</v>
      </c>
      <c r="G799" s="10">
        <v>0.4</v>
      </c>
      <c r="H799" s="15">
        <v>78</v>
      </c>
      <c r="I799" s="15">
        <v>67</v>
      </c>
      <c r="J799" s="15">
        <v>34</v>
      </c>
      <c r="K799" s="15">
        <v>143.6</v>
      </c>
    </row>
    <row r="800" spans="1:11" ht="15" customHeight="1" x14ac:dyDescent="0.2">
      <c r="A800" s="9" t="s">
        <v>522</v>
      </c>
      <c r="B800" s="9" t="s">
        <v>1573</v>
      </c>
      <c r="C800" s="9" t="s">
        <v>247</v>
      </c>
      <c r="D800" s="9" t="s">
        <v>255</v>
      </c>
      <c r="E800" s="9" t="s">
        <v>262</v>
      </c>
      <c r="F800" s="9" t="s">
        <v>287</v>
      </c>
      <c r="G800" s="10">
        <v>0.3</v>
      </c>
      <c r="H800" s="15">
        <v>61</v>
      </c>
      <c r="I800" s="15">
        <v>36</v>
      </c>
      <c r="J800" s="15">
        <v>32</v>
      </c>
      <c r="K800" s="15">
        <v>57.7</v>
      </c>
    </row>
    <row r="801" spans="1:11" ht="15" customHeight="1" x14ac:dyDescent="0.2">
      <c r="A801" s="9" t="s">
        <v>523</v>
      </c>
      <c r="B801" s="9" t="s">
        <v>1573</v>
      </c>
      <c r="C801" s="9" t="s">
        <v>247</v>
      </c>
      <c r="D801" s="9" t="s">
        <v>251</v>
      </c>
      <c r="E801" s="9" t="s">
        <v>262</v>
      </c>
      <c r="F801" s="9" t="s">
        <v>287</v>
      </c>
      <c r="G801" s="10">
        <v>0.5</v>
      </c>
      <c r="H801" s="15">
        <v>64</v>
      </c>
      <c r="I801" s="15">
        <v>45</v>
      </c>
      <c r="J801" s="15">
        <v>23</v>
      </c>
      <c r="K801" s="15">
        <v>68.7</v>
      </c>
    </row>
    <row r="802" spans="1:11" ht="15" customHeight="1" x14ac:dyDescent="0.2">
      <c r="A802" s="9" t="s">
        <v>524</v>
      </c>
      <c r="B802" s="9" t="s">
        <v>1573</v>
      </c>
      <c r="C802" s="9" t="s">
        <v>247</v>
      </c>
      <c r="D802" s="9" t="s">
        <v>251</v>
      </c>
      <c r="E802" s="9" t="s">
        <v>260</v>
      </c>
      <c r="F802" s="9" t="s">
        <v>287</v>
      </c>
      <c r="G802" s="10">
        <v>0.3</v>
      </c>
      <c r="H802" s="15">
        <v>80</v>
      </c>
      <c r="I802" s="15">
        <v>60</v>
      </c>
      <c r="J802" s="15">
        <v>43</v>
      </c>
      <c r="K802" s="15">
        <v>263.3</v>
      </c>
    </row>
    <row r="803" spans="1:11" ht="15" customHeight="1" x14ac:dyDescent="0.2">
      <c r="A803" s="9" t="s">
        <v>526</v>
      </c>
      <c r="B803" s="9" t="s">
        <v>1573</v>
      </c>
      <c r="C803" s="9" t="s">
        <v>247</v>
      </c>
      <c r="D803" s="9" t="s">
        <v>253</v>
      </c>
      <c r="E803" s="9" t="s">
        <v>262</v>
      </c>
      <c r="F803" s="9" t="s">
        <v>287</v>
      </c>
      <c r="G803" s="10">
        <v>0.4</v>
      </c>
      <c r="H803" s="15">
        <v>48</v>
      </c>
      <c r="I803" s="15">
        <v>34</v>
      </c>
      <c r="J803" s="15">
        <v>24</v>
      </c>
      <c r="K803" s="15">
        <v>40</v>
      </c>
    </row>
    <row r="804" spans="1:11" ht="15" customHeight="1" x14ac:dyDescent="0.2">
      <c r="A804" s="9" t="s">
        <v>527</v>
      </c>
      <c r="B804" s="9" t="s">
        <v>1573</v>
      </c>
      <c r="C804" s="9" t="s">
        <v>247</v>
      </c>
      <c r="D804" s="9" t="s">
        <v>251</v>
      </c>
      <c r="E804" s="9" t="s">
        <v>260</v>
      </c>
      <c r="F804" s="9" t="s">
        <v>287</v>
      </c>
      <c r="G804" s="10">
        <v>0.05</v>
      </c>
      <c r="H804" s="15">
        <v>61</v>
      </c>
      <c r="I804" s="15">
        <v>42</v>
      </c>
      <c r="J804" s="15">
        <v>17</v>
      </c>
      <c r="K804" s="15">
        <v>56.9</v>
      </c>
    </row>
    <row r="805" spans="1:11" ht="15" customHeight="1" x14ac:dyDescent="0.2">
      <c r="A805" s="9" t="s">
        <v>528</v>
      </c>
      <c r="B805" s="9" t="s">
        <v>1573</v>
      </c>
      <c r="C805" s="9" t="s">
        <v>247</v>
      </c>
      <c r="D805" s="9" t="s">
        <v>251</v>
      </c>
      <c r="E805" s="9" t="s">
        <v>261</v>
      </c>
      <c r="F805" s="9" t="s">
        <v>287</v>
      </c>
      <c r="G805" s="10">
        <v>0.4</v>
      </c>
      <c r="H805" s="15">
        <v>57</v>
      </c>
      <c r="I805" s="15">
        <v>32</v>
      </c>
      <c r="J805" s="15">
        <v>27</v>
      </c>
      <c r="K805" s="15">
        <v>54.2</v>
      </c>
    </row>
    <row r="806" spans="1:11" ht="15" customHeight="1" x14ac:dyDescent="0.2">
      <c r="A806" s="9" t="s">
        <v>529</v>
      </c>
      <c r="B806" s="9" t="s">
        <v>1573</v>
      </c>
      <c r="C806" s="9" t="s">
        <v>247</v>
      </c>
      <c r="D806" s="9" t="s">
        <v>251</v>
      </c>
      <c r="E806" s="9" t="s">
        <v>262</v>
      </c>
      <c r="F806" s="9" t="s">
        <v>287</v>
      </c>
      <c r="G806" s="10">
        <v>0.25</v>
      </c>
      <c r="H806" s="15">
        <v>63</v>
      </c>
      <c r="I806" s="15">
        <v>40</v>
      </c>
      <c r="J806" s="15">
        <v>25</v>
      </c>
      <c r="K806" s="15">
        <v>81.900000000000006</v>
      </c>
    </row>
    <row r="807" spans="1:11" ht="15" customHeight="1" x14ac:dyDescent="0.2">
      <c r="A807" s="9" t="s">
        <v>530</v>
      </c>
      <c r="B807" s="9" t="s">
        <v>1573</v>
      </c>
      <c r="C807" s="9" t="s">
        <v>247</v>
      </c>
      <c r="D807" s="9" t="s">
        <v>253</v>
      </c>
      <c r="E807" s="9" t="s">
        <v>262</v>
      </c>
      <c r="F807" s="9" t="s">
        <v>287</v>
      </c>
      <c r="G807" s="10">
        <v>0</v>
      </c>
      <c r="H807" s="15">
        <v>36</v>
      </c>
      <c r="I807" s="15">
        <v>32</v>
      </c>
      <c r="J807" s="15">
        <v>20</v>
      </c>
      <c r="K807" s="15">
        <v>32.299999999999997</v>
      </c>
    </row>
    <row r="808" spans="1:11" ht="15" customHeight="1" x14ac:dyDescent="0.2">
      <c r="A808" s="9" t="s">
        <v>531</v>
      </c>
      <c r="B808" s="9" t="s">
        <v>1573</v>
      </c>
      <c r="C808" s="9" t="s">
        <v>247</v>
      </c>
      <c r="D808" s="9" t="s">
        <v>253</v>
      </c>
      <c r="E808" s="9" t="s">
        <v>262</v>
      </c>
      <c r="F808" s="9" t="s">
        <v>287</v>
      </c>
      <c r="G808" s="10">
        <v>0.55000000000000004</v>
      </c>
      <c r="H808" s="15">
        <v>48</v>
      </c>
      <c r="I808" s="15">
        <v>45</v>
      </c>
      <c r="J808" s="15">
        <v>34</v>
      </c>
      <c r="K808" s="15">
        <v>80.400000000000006</v>
      </c>
    </row>
    <row r="809" spans="1:11" ht="15" customHeight="1" x14ac:dyDescent="0.2">
      <c r="A809" s="9" t="s">
        <v>532</v>
      </c>
      <c r="B809" s="9" t="s">
        <v>1573</v>
      </c>
      <c r="C809" s="9" t="s">
        <v>247</v>
      </c>
      <c r="D809" s="9" t="s">
        <v>253</v>
      </c>
      <c r="E809" s="9" t="s">
        <v>260</v>
      </c>
      <c r="F809" s="9" t="s">
        <v>287</v>
      </c>
      <c r="G809" s="10">
        <v>0.6</v>
      </c>
      <c r="H809" s="15">
        <v>41</v>
      </c>
      <c r="I809" s="15">
        <v>36</v>
      </c>
      <c r="J809" s="15">
        <v>24</v>
      </c>
      <c r="K809" s="15">
        <v>52.9</v>
      </c>
    </row>
    <row r="810" spans="1:11" ht="15" customHeight="1" x14ac:dyDescent="0.2">
      <c r="A810" s="9" t="s">
        <v>533</v>
      </c>
      <c r="B810" s="9" t="s">
        <v>1573</v>
      </c>
      <c r="C810" s="9" t="s">
        <v>247</v>
      </c>
      <c r="D810" s="9" t="s">
        <v>251</v>
      </c>
      <c r="E810" s="9" t="s">
        <v>262</v>
      </c>
      <c r="F810" s="9" t="s">
        <v>287</v>
      </c>
      <c r="G810" s="10">
        <v>0.3</v>
      </c>
      <c r="H810" s="15">
        <v>50</v>
      </c>
      <c r="I810" s="15">
        <v>32</v>
      </c>
      <c r="J810" s="15">
        <v>26</v>
      </c>
      <c r="K810" s="15">
        <v>37.4</v>
      </c>
    </row>
    <row r="811" spans="1:11" ht="15" customHeight="1" x14ac:dyDescent="0.2">
      <c r="A811" s="9" t="s">
        <v>535</v>
      </c>
      <c r="B811" s="9" t="s">
        <v>1573</v>
      </c>
      <c r="C811" s="9" t="s">
        <v>247</v>
      </c>
      <c r="D811" s="9" t="s">
        <v>251</v>
      </c>
      <c r="E811" s="9" t="s">
        <v>261</v>
      </c>
      <c r="F811" s="9" t="s">
        <v>287</v>
      </c>
      <c r="G811" s="10">
        <v>0.4</v>
      </c>
      <c r="H811" s="15">
        <v>58</v>
      </c>
      <c r="I811" s="15">
        <v>52</v>
      </c>
      <c r="J811" s="15">
        <v>25</v>
      </c>
      <c r="K811" s="15">
        <v>75.7</v>
      </c>
    </row>
    <row r="812" spans="1:11" ht="15" customHeight="1" x14ac:dyDescent="0.2">
      <c r="A812" s="9" t="s">
        <v>536</v>
      </c>
      <c r="B812" s="9" t="s">
        <v>1573</v>
      </c>
      <c r="C812" s="9" t="s">
        <v>247</v>
      </c>
      <c r="D812" s="9" t="s">
        <v>251</v>
      </c>
      <c r="E812" s="9" t="s">
        <v>261</v>
      </c>
      <c r="F812" s="9" t="s">
        <v>287</v>
      </c>
      <c r="G812" s="10">
        <v>0.4</v>
      </c>
      <c r="H812" s="15">
        <v>65</v>
      </c>
      <c r="I812" s="15">
        <v>52</v>
      </c>
      <c r="J812" s="15">
        <v>40</v>
      </c>
      <c r="K812" s="15">
        <v>149.4</v>
      </c>
    </row>
    <row r="813" spans="1:11" ht="15" customHeight="1" x14ac:dyDescent="0.2">
      <c r="A813" s="9" t="s">
        <v>537</v>
      </c>
      <c r="B813" s="9" t="s">
        <v>1573</v>
      </c>
      <c r="C813" s="9" t="s">
        <v>247</v>
      </c>
      <c r="D813" s="9" t="s">
        <v>251</v>
      </c>
      <c r="E813" s="9" t="s">
        <v>261</v>
      </c>
      <c r="F813" s="9" t="s">
        <v>287</v>
      </c>
      <c r="G813" s="10">
        <v>0.7</v>
      </c>
      <c r="H813" s="15">
        <v>54</v>
      </c>
      <c r="I813" s="15">
        <v>30</v>
      </c>
      <c r="J813" s="15">
        <v>27</v>
      </c>
      <c r="K813" s="15">
        <v>41.1</v>
      </c>
    </row>
    <row r="814" spans="1:11" ht="15" customHeight="1" x14ac:dyDescent="0.2">
      <c r="A814" s="9" t="s">
        <v>538</v>
      </c>
      <c r="B814" s="9" t="s">
        <v>1573</v>
      </c>
      <c r="C814" s="9" t="s">
        <v>247</v>
      </c>
      <c r="D814" s="9" t="s">
        <v>251</v>
      </c>
      <c r="E814" s="9" t="s">
        <v>262</v>
      </c>
      <c r="F814" s="9" t="s">
        <v>287</v>
      </c>
      <c r="G814" s="10">
        <v>0.4</v>
      </c>
      <c r="H814" s="15">
        <v>50</v>
      </c>
      <c r="I814" s="15">
        <v>41</v>
      </c>
      <c r="J814" s="15">
        <v>27</v>
      </c>
      <c r="K814" s="15">
        <v>60.8</v>
      </c>
    </row>
    <row r="815" spans="1:11" ht="15" customHeight="1" x14ac:dyDescent="0.2">
      <c r="A815" s="9" t="s">
        <v>539</v>
      </c>
      <c r="B815" s="9" t="s">
        <v>1573</v>
      </c>
      <c r="C815" s="9" t="s">
        <v>247</v>
      </c>
      <c r="D815" s="9" t="s">
        <v>253</v>
      </c>
      <c r="E815" s="9" t="s">
        <v>261</v>
      </c>
      <c r="F815" s="9" t="s">
        <v>287</v>
      </c>
      <c r="G815" s="10">
        <v>0.7</v>
      </c>
      <c r="H815" s="15">
        <v>54</v>
      </c>
      <c r="I815" s="15">
        <v>48</v>
      </c>
      <c r="J815" s="15">
        <v>35</v>
      </c>
      <c r="K815" s="15">
        <v>146.1</v>
      </c>
    </row>
    <row r="816" spans="1:11" ht="15" customHeight="1" x14ac:dyDescent="0.2">
      <c r="A816" s="9" t="s">
        <v>540</v>
      </c>
      <c r="B816" s="9" t="s">
        <v>1573</v>
      </c>
      <c r="C816" s="9" t="s">
        <v>247</v>
      </c>
      <c r="D816" s="9" t="s">
        <v>251</v>
      </c>
      <c r="E816" s="9" t="s">
        <v>261</v>
      </c>
      <c r="F816" s="9" t="s">
        <v>287</v>
      </c>
      <c r="G816" s="10">
        <v>0.4</v>
      </c>
      <c r="H816" s="15">
        <v>39</v>
      </c>
      <c r="I816" s="15">
        <v>31</v>
      </c>
      <c r="J816" s="15">
        <v>23</v>
      </c>
      <c r="K816" s="15">
        <v>41.4</v>
      </c>
    </row>
    <row r="817" spans="1:11" ht="15" customHeight="1" x14ac:dyDescent="0.2">
      <c r="A817" s="9" t="s">
        <v>541</v>
      </c>
      <c r="B817" s="9" t="s">
        <v>1573</v>
      </c>
      <c r="C817" s="9" t="s">
        <v>247</v>
      </c>
      <c r="D817" s="9" t="s">
        <v>251</v>
      </c>
      <c r="E817" s="9" t="s">
        <v>262</v>
      </c>
      <c r="F817" s="9" t="s">
        <v>287</v>
      </c>
      <c r="G817" s="10">
        <v>0.3</v>
      </c>
      <c r="H817" s="15">
        <v>75</v>
      </c>
      <c r="I817" s="15">
        <v>50</v>
      </c>
      <c r="J817" s="15">
        <v>31</v>
      </c>
      <c r="K817" s="15">
        <v>165</v>
      </c>
    </row>
    <row r="818" spans="1:11" ht="15" customHeight="1" x14ac:dyDescent="0.2">
      <c r="A818" s="9" t="s">
        <v>542</v>
      </c>
      <c r="B818" s="9" t="s">
        <v>1573</v>
      </c>
      <c r="C818" s="9" t="s">
        <v>247</v>
      </c>
      <c r="D818" s="9" t="s">
        <v>251</v>
      </c>
      <c r="E818" s="9" t="s">
        <v>261</v>
      </c>
      <c r="F818" s="9" t="s">
        <v>287</v>
      </c>
      <c r="G818" s="10">
        <v>0.2</v>
      </c>
      <c r="H818" s="15">
        <v>62</v>
      </c>
      <c r="I818" s="15">
        <v>35</v>
      </c>
      <c r="J818" s="15">
        <v>15</v>
      </c>
      <c r="K818" s="15">
        <v>36.299999999999997</v>
      </c>
    </row>
    <row r="819" spans="1:11" ht="15" customHeight="1" x14ac:dyDescent="0.2">
      <c r="A819" s="9" t="s">
        <v>543</v>
      </c>
      <c r="B819" s="9" t="s">
        <v>1573</v>
      </c>
      <c r="C819" s="9" t="s">
        <v>247</v>
      </c>
      <c r="D819" s="9" t="s">
        <v>251</v>
      </c>
      <c r="E819" s="9" t="s">
        <v>261</v>
      </c>
      <c r="F819" s="9" t="s">
        <v>287</v>
      </c>
      <c r="G819" s="10">
        <v>0.4</v>
      </c>
      <c r="H819" s="15">
        <v>45</v>
      </c>
      <c r="I819" s="15">
        <v>36</v>
      </c>
      <c r="J819" s="15">
        <v>15</v>
      </c>
      <c r="K819" s="15">
        <v>36</v>
      </c>
    </row>
    <row r="820" spans="1:11" ht="15" customHeight="1" x14ac:dyDescent="0.2">
      <c r="A820" s="9" t="s">
        <v>544</v>
      </c>
      <c r="B820" s="9" t="s">
        <v>1573</v>
      </c>
      <c r="C820" s="9" t="s">
        <v>247</v>
      </c>
      <c r="D820" s="9" t="s">
        <v>253</v>
      </c>
      <c r="E820" s="9" t="s">
        <v>261</v>
      </c>
      <c r="F820" s="9" t="s">
        <v>287</v>
      </c>
      <c r="G820" s="10">
        <v>0.4</v>
      </c>
      <c r="H820" s="15">
        <v>48</v>
      </c>
      <c r="I820" s="15">
        <v>29</v>
      </c>
      <c r="J820" s="15">
        <v>17</v>
      </c>
      <c r="K820" s="15">
        <v>32.799999999999997</v>
      </c>
    </row>
    <row r="821" spans="1:11" ht="15" customHeight="1" x14ac:dyDescent="0.2">
      <c r="A821" s="9" t="s">
        <v>545</v>
      </c>
      <c r="B821" s="9" t="s">
        <v>1573</v>
      </c>
      <c r="C821" s="9" t="s">
        <v>247</v>
      </c>
      <c r="D821" s="9" t="s">
        <v>251</v>
      </c>
      <c r="E821" s="9" t="s">
        <v>261</v>
      </c>
      <c r="F821" s="9" t="s">
        <v>287</v>
      </c>
      <c r="G821" s="10">
        <v>0.2</v>
      </c>
      <c r="H821" s="15">
        <v>42</v>
      </c>
      <c r="I821" s="15">
        <v>39</v>
      </c>
      <c r="J821" s="15">
        <v>37</v>
      </c>
      <c r="K821" s="15">
        <v>97</v>
      </c>
    </row>
    <row r="822" spans="1:11" ht="15" customHeight="1" x14ac:dyDescent="0.2">
      <c r="A822" s="9" t="s">
        <v>546</v>
      </c>
      <c r="B822" s="9" t="s">
        <v>1573</v>
      </c>
      <c r="C822" s="9" t="s">
        <v>247</v>
      </c>
      <c r="D822" s="9" t="s">
        <v>251</v>
      </c>
      <c r="E822" s="9" t="s">
        <v>261</v>
      </c>
      <c r="F822" s="9" t="s">
        <v>287</v>
      </c>
      <c r="G822" s="10">
        <v>0.5</v>
      </c>
      <c r="H822" s="15">
        <v>55</v>
      </c>
      <c r="I822" s="15">
        <v>44</v>
      </c>
      <c r="J822" s="15">
        <v>16</v>
      </c>
      <c r="K822" s="15">
        <v>37</v>
      </c>
    </row>
    <row r="823" spans="1:11" ht="15" customHeight="1" x14ac:dyDescent="0.2">
      <c r="A823" s="9" t="s">
        <v>547</v>
      </c>
      <c r="B823" s="9" t="s">
        <v>1573</v>
      </c>
      <c r="C823" s="9" t="s">
        <v>247</v>
      </c>
      <c r="D823" s="9" t="s">
        <v>251</v>
      </c>
      <c r="E823" s="9" t="s">
        <v>261</v>
      </c>
      <c r="F823" s="9" t="s">
        <v>287</v>
      </c>
      <c r="G823" s="10">
        <v>0.4</v>
      </c>
      <c r="H823" s="15">
        <v>45</v>
      </c>
      <c r="I823" s="15">
        <v>35</v>
      </c>
      <c r="J823" s="15">
        <v>26</v>
      </c>
      <c r="K823" s="15">
        <v>71.8</v>
      </c>
    </row>
    <row r="824" spans="1:11" ht="15" customHeight="1" x14ac:dyDescent="0.2">
      <c r="A824" s="9" t="s">
        <v>548</v>
      </c>
      <c r="B824" s="9" t="s">
        <v>1573</v>
      </c>
      <c r="C824" s="9" t="s">
        <v>247</v>
      </c>
      <c r="D824" s="9" t="s">
        <v>251</v>
      </c>
      <c r="E824" s="9" t="s">
        <v>262</v>
      </c>
      <c r="F824" s="9" t="s">
        <v>287</v>
      </c>
      <c r="G824" s="10">
        <v>0.4</v>
      </c>
      <c r="H824" s="15">
        <v>93</v>
      </c>
      <c r="I824" s="15">
        <v>60</v>
      </c>
      <c r="J824" s="15">
        <v>63</v>
      </c>
      <c r="K824" s="15">
        <v>395.9</v>
      </c>
    </row>
    <row r="825" spans="1:11" ht="15" customHeight="1" x14ac:dyDescent="0.2">
      <c r="A825" s="9" t="s">
        <v>549</v>
      </c>
      <c r="B825" s="9" t="s">
        <v>1573</v>
      </c>
      <c r="C825" s="9" t="s">
        <v>247</v>
      </c>
      <c r="D825" s="9" t="s">
        <v>251</v>
      </c>
      <c r="E825" s="9" t="s">
        <v>260</v>
      </c>
      <c r="F825" s="9" t="s">
        <v>287</v>
      </c>
      <c r="G825" s="10">
        <v>0.4</v>
      </c>
      <c r="H825" s="15">
        <v>51</v>
      </c>
      <c r="I825" s="15">
        <v>50</v>
      </c>
      <c r="J825" s="15">
        <v>30</v>
      </c>
      <c r="K825" s="15">
        <v>84.3</v>
      </c>
    </row>
    <row r="826" spans="1:11" ht="15" customHeight="1" x14ac:dyDescent="0.2">
      <c r="A826" s="9" t="s">
        <v>550</v>
      </c>
      <c r="B826" s="9" t="s">
        <v>1573</v>
      </c>
      <c r="C826" s="9" t="s">
        <v>248</v>
      </c>
      <c r="D826" s="9" t="s">
        <v>751</v>
      </c>
      <c r="E826" s="9" t="s">
        <v>263</v>
      </c>
      <c r="F826" s="9" t="s">
        <v>287</v>
      </c>
      <c r="G826" s="10">
        <v>0.3</v>
      </c>
      <c r="H826" s="15">
        <v>48</v>
      </c>
      <c r="I826" s="15">
        <v>46</v>
      </c>
      <c r="J826" s="15">
        <v>38</v>
      </c>
      <c r="K826" s="15">
        <v>98.1</v>
      </c>
    </row>
    <row r="827" spans="1:11" ht="15" customHeight="1" x14ac:dyDescent="0.2">
      <c r="A827" s="9" t="s">
        <v>551</v>
      </c>
      <c r="B827" s="9" t="s">
        <v>1573</v>
      </c>
      <c r="C827" s="9" t="s">
        <v>248</v>
      </c>
      <c r="D827" s="9" t="s">
        <v>251</v>
      </c>
      <c r="E827" s="9" t="s">
        <v>262</v>
      </c>
      <c r="F827" s="9" t="s">
        <v>287</v>
      </c>
      <c r="G827" s="10">
        <v>0.55000000000000004</v>
      </c>
      <c r="H827" s="15">
        <v>55</v>
      </c>
      <c r="I827" s="15">
        <v>42</v>
      </c>
      <c r="J827" s="15">
        <v>39</v>
      </c>
      <c r="K827" s="15">
        <v>131.6</v>
      </c>
    </row>
    <row r="828" spans="1:11" ht="15" customHeight="1" x14ac:dyDescent="0.2">
      <c r="A828" s="9" t="s">
        <v>552</v>
      </c>
      <c r="B828" s="9" t="s">
        <v>1573</v>
      </c>
      <c r="C828" s="9" t="s">
        <v>248</v>
      </c>
      <c r="D828" s="9" t="s">
        <v>751</v>
      </c>
      <c r="E828" s="9" t="s">
        <v>263</v>
      </c>
      <c r="F828" s="9" t="s">
        <v>287</v>
      </c>
      <c r="G828" s="10">
        <v>0.35</v>
      </c>
      <c r="H828" s="15">
        <v>40</v>
      </c>
      <c r="I828" s="15">
        <v>30</v>
      </c>
      <c r="J828" s="15">
        <v>28</v>
      </c>
      <c r="K828" s="15">
        <v>36.9</v>
      </c>
    </row>
    <row r="829" spans="1:11" ht="15" customHeight="1" x14ac:dyDescent="0.2">
      <c r="A829" s="9" t="s">
        <v>553</v>
      </c>
      <c r="B829" s="9" t="s">
        <v>1573</v>
      </c>
      <c r="C829" s="9" t="s">
        <v>248</v>
      </c>
      <c r="D829" s="9" t="s">
        <v>251</v>
      </c>
      <c r="E829" s="9" t="s">
        <v>261</v>
      </c>
      <c r="F829" s="9" t="s">
        <v>287</v>
      </c>
      <c r="G829" s="10">
        <v>0.3</v>
      </c>
      <c r="H829" s="15">
        <v>46</v>
      </c>
      <c r="I829" s="15">
        <v>34</v>
      </c>
      <c r="J829" s="15">
        <v>24</v>
      </c>
      <c r="K829" s="15">
        <v>40</v>
      </c>
    </row>
    <row r="830" spans="1:11" ht="15" customHeight="1" x14ac:dyDescent="0.2">
      <c r="A830" s="9" t="s">
        <v>554</v>
      </c>
      <c r="B830" s="9" t="s">
        <v>1573</v>
      </c>
      <c r="C830" s="9" t="s">
        <v>248</v>
      </c>
      <c r="D830" s="9" t="s">
        <v>251</v>
      </c>
      <c r="E830" s="9" t="s">
        <v>262</v>
      </c>
      <c r="F830" s="9" t="s">
        <v>287</v>
      </c>
      <c r="G830" s="10">
        <v>0.4</v>
      </c>
      <c r="H830" s="15">
        <v>87</v>
      </c>
      <c r="I830" s="15">
        <v>58</v>
      </c>
      <c r="J830" s="15">
        <v>43</v>
      </c>
      <c r="K830" s="15">
        <v>186.7</v>
      </c>
    </row>
    <row r="831" spans="1:11" ht="15" customHeight="1" x14ac:dyDescent="0.2">
      <c r="A831" s="9" t="s">
        <v>555</v>
      </c>
      <c r="B831" s="9" t="s">
        <v>1573</v>
      </c>
      <c r="C831" s="9" t="s">
        <v>248</v>
      </c>
      <c r="D831" s="9" t="s">
        <v>251</v>
      </c>
      <c r="E831" s="9" t="s">
        <v>261</v>
      </c>
      <c r="F831" s="9" t="s">
        <v>287</v>
      </c>
      <c r="G831" s="10">
        <v>0.25</v>
      </c>
      <c r="H831" s="15">
        <v>40</v>
      </c>
      <c r="I831" s="15">
        <v>38</v>
      </c>
      <c r="J831" s="15">
        <v>30</v>
      </c>
      <c r="K831" s="15">
        <v>41</v>
      </c>
    </row>
    <row r="832" spans="1:11" ht="15" customHeight="1" x14ac:dyDescent="0.2">
      <c r="A832" s="9" t="s">
        <v>556</v>
      </c>
      <c r="B832" s="9" t="s">
        <v>1573</v>
      </c>
      <c r="C832" s="9" t="s">
        <v>248</v>
      </c>
      <c r="D832" s="9" t="s">
        <v>254</v>
      </c>
      <c r="E832" s="9" t="s">
        <v>263</v>
      </c>
      <c r="F832" s="9" t="s">
        <v>287</v>
      </c>
      <c r="G832" s="10">
        <v>0.45</v>
      </c>
      <c r="H832" s="15">
        <v>72</v>
      </c>
      <c r="I832" s="15">
        <v>35</v>
      </c>
      <c r="J832" s="15">
        <v>30</v>
      </c>
      <c r="K832" s="15">
        <v>111.5</v>
      </c>
    </row>
    <row r="833" spans="1:11" ht="15" customHeight="1" x14ac:dyDescent="0.2">
      <c r="A833" s="9" t="s">
        <v>557</v>
      </c>
      <c r="B833" s="9" t="s">
        <v>1573</v>
      </c>
      <c r="C833" s="9" t="s">
        <v>248</v>
      </c>
      <c r="D833" s="9" t="s">
        <v>251</v>
      </c>
      <c r="E833" s="9" t="s">
        <v>262</v>
      </c>
      <c r="F833" s="9" t="s">
        <v>287</v>
      </c>
      <c r="G833" s="10">
        <v>0.6</v>
      </c>
      <c r="H833" s="15">
        <v>68</v>
      </c>
      <c r="I833" s="15">
        <v>46</v>
      </c>
      <c r="J833" s="15">
        <v>38</v>
      </c>
      <c r="K833" s="15">
        <v>149.19999999999999</v>
      </c>
    </row>
    <row r="834" spans="1:11" ht="15" customHeight="1" x14ac:dyDescent="0.2">
      <c r="A834" s="9" t="s">
        <v>559</v>
      </c>
      <c r="B834" s="9" t="s">
        <v>1573</v>
      </c>
      <c r="C834" s="9" t="s">
        <v>248</v>
      </c>
      <c r="D834" s="9" t="s">
        <v>251</v>
      </c>
      <c r="E834" s="9" t="s">
        <v>262</v>
      </c>
      <c r="F834" s="9" t="s">
        <v>287</v>
      </c>
      <c r="G834" s="10">
        <v>0.4</v>
      </c>
      <c r="H834" s="15">
        <v>65</v>
      </c>
      <c r="I834" s="15">
        <v>42</v>
      </c>
      <c r="J834" s="15">
        <v>20</v>
      </c>
      <c r="K834" s="15">
        <v>58.9</v>
      </c>
    </row>
    <row r="835" spans="1:11" ht="15" customHeight="1" x14ac:dyDescent="0.2">
      <c r="A835" s="9" t="s">
        <v>560</v>
      </c>
      <c r="B835" s="9" t="s">
        <v>1573</v>
      </c>
      <c r="C835" s="9" t="s">
        <v>248</v>
      </c>
      <c r="D835" s="9" t="s">
        <v>251</v>
      </c>
      <c r="E835" s="9" t="s">
        <v>261</v>
      </c>
      <c r="F835" s="9" t="s">
        <v>287</v>
      </c>
      <c r="G835" s="10">
        <v>0.6</v>
      </c>
      <c r="H835" s="15">
        <v>72</v>
      </c>
      <c r="I835" s="15">
        <v>66</v>
      </c>
      <c r="J835" s="15">
        <v>40</v>
      </c>
      <c r="K835" s="15">
        <v>236.6</v>
      </c>
    </row>
    <row r="836" spans="1:11" ht="15" customHeight="1" x14ac:dyDescent="0.2">
      <c r="A836" s="9" t="s">
        <v>561</v>
      </c>
      <c r="B836" s="9" t="s">
        <v>1573</v>
      </c>
      <c r="C836" s="9" t="s">
        <v>248</v>
      </c>
      <c r="D836" s="9" t="s">
        <v>751</v>
      </c>
      <c r="E836" s="9" t="s">
        <v>263</v>
      </c>
      <c r="F836" s="9" t="s">
        <v>287</v>
      </c>
      <c r="G836" s="10">
        <v>0.4</v>
      </c>
      <c r="H836" s="15">
        <v>38</v>
      </c>
      <c r="I836" s="15">
        <v>34</v>
      </c>
      <c r="J836" s="15">
        <v>22</v>
      </c>
      <c r="K836" s="15">
        <v>27.9</v>
      </c>
    </row>
    <row r="837" spans="1:11" ht="15" customHeight="1" x14ac:dyDescent="0.2">
      <c r="A837" s="9" t="s">
        <v>562</v>
      </c>
      <c r="B837" s="9" t="s">
        <v>1573</v>
      </c>
      <c r="C837" s="9" t="s">
        <v>248</v>
      </c>
      <c r="D837" s="9" t="s">
        <v>251</v>
      </c>
      <c r="E837" s="9" t="s">
        <v>262</v>
      </c>
      <c r="F837" s="9" t="s">
        <v>287</v>
      </c>
      <c r="G837" s="10">
        <v>0.1</v>
      </c>
      <c r="H837" s="15">
        <v>53</v>
      </c>
      <c r="I837" s="15">
        <v>48</v>
      </c>
      <c r="J837" s="15">
        <v>31</v>
      </c>
      <c r="K837" s="15">
        <v>74.8</v>
      </c>
    </row>
    <row r="838" spans="1:11" ht="15" customHeight="1" x14ac:dyDescent="0.2">
      <c r="A838" s="9" t="s">
        <v>563</v>
      </c>
      <c r="B838" s="9" t="s">
        <v>1573</v>
      </c>
      <c r="C838" s="9" t="s">
        <v>248</v>
      </c>
      <c r="D838" s="9" t="s">
        <v>251</v>
      </c>
      <c r="E838" s="9" t="s">
        <v>262</v>
      </c>
      <c r="F838" s="9" t="s">
        <v>287</v>
      </c>
      <c r="G838" s="10">
        <v>0.3</v>
      </c>
      <c r="H838" s="15">
        <v>64</v>
      </c>
      <c r="I838" s="15">
        <v>43</v>
      </c>
      <c r="J838" s="15">
        <v>24</v>
      </c>
      <c r="K838" s="15">
        <v>71.900000000000006</v>
      </c>
    </row>
    <row r="839" spans="1:11" ht="15" customHeight="1" x14ac:dyDescent="0.2">
      <c r="A839" s="9" t="s">
        <v>564</v>
      </c>
      <c r="B839" s="9" t="s">
        <v>1573</v>
      </c>
      <c r="C839" s="9" t="s">
        <v>248</v>
      </c>
      <c r="D839" s="9" t="s">
        <v>251</v>
      </c>
      <c r="E839" s="9" t="s">
        <v>261</v>
      </c>
      <c r="F839" s="9" t="s">
        <v>287</v>
      </c>
      <c r="G839" s="10">
        <v>0.3</v>
      </c>
      <c r="H839" s="15">
        <v>44</v>
      </c>
      <c r="I839" s="15">
        <v>40</v>
      </c>
      <c r="J839" s="15">
        <v>30</v>
      </c>
      <c r="K839" s="15">
        <v>46.1</v>
      </c>
    </row>
    <row r="840" spans="1:11" ht="15" customHeight="1" x14ac:dyDescent="0.2">
      <c r="A840" s="9" t="s">
        <v>565</v>
      </c>
      <c r="B840" s="9" t="s">
        <v>1573</v>
      </c>
      <c r="C840" s="9" t="s">
        <v>248</v>
      </c>
      <c r="D840" s="9" t="s">
        <v>251</v>
      </c>
      <c r="E840" s="9" t="s">
        <v>262</v>
      </c>
      <c r="F840" s="9" t="s">
        <v>287</v>
      </c>
      <c r="G840" s="10">
        <v>0.4</v>
      </c>
      <c r="H840" s="15">
        <v>49</v>
      </c>
      <c r="I840" s="15">
        <v>32</v>
      </c>
      <c r="J840" s="15">
        <v>23</v>
      </c>
      <c r="K840" s="15">
        <v>48.1</v>
      </c>
    </row>
    <row r="841" spans="1:11" ht="15" customHeight="1" x14ac:dyDescent="0.2">
      <c r="A841" s="9" t="s">
        <v>566</v>
      </c>
      <c r="B841" s="9" t="s">
        <v>1573</v>
      </c>
      <c r="C841" s="9" t="s">
        <v>248</v>
      </c>
      <c r="D841" s="9" t="s">
        <v>251</v>
      </c>
      <c r="E841" s="9" t="s">
        <v>261</v>
      </c>
      <c r="F841" s="9" t="s">
        <v>287</v>
      </c>
      <c r="G841" s="10">
        <v>0.6</v>
      </c>
      <c r="H841" s="15">
        <v>43</v>
      </c>
      <c r="I841" s="15">
        <v>39</v>
      </c>
      <c r="J841" s="15">
        <v>18</v>
      </c>
      <c r="K841" s="15">
        <v>32.4</v>
      </c>
    </row>
    <row r="842" spans="1:11" ht="15" customHeight="1" x14ac:dyDescent="0.2">
      <c r="A842" s="9" t="s">
        <v>567</v>
      </c>
      <c r="B842" s="9" t="s">
        <v>1573</v>
      </c>
      <c r="C842" s="9" t="s">
        <v>248</v>
      </c>
      <c r="D842" s="9" t="s">
        <v>251</v>
      </c>
      <c r="E842" s="9" t="s">
        <v>262</v>
      </c>
      <c r="F842" s="9" t="s">
        <v>287</v>
      </c>
      <c r="G842" s="10">
        <v>0.15</v>
      </c>
      <c r="H842" s="15">
        <v>46</v>
      </c>
      <c r="I842" s="15">
        <v>35</v>
      </c>
      <c r="J842" s="15">
        <v>24</v>
      </c>
      <c r="K842" s="15">
        <v>32.6</v>
      </c>
    </row>
    <row r="843" spans="1:11" ht="15" customHeight="1" x14ac:dyDescent="0.2">
      <c r="A843" s="9" t="s">
        <v>568</v>
      </c>
      <c r="B843" s="9" t="s">
        <v>1573</v>
      </c>
      <c r="C843" s="9" t="s">
        <v>248</v>
      </c>
      <c r="D843" s="9" t="s">
        <v>251</v>
      </c>
      <c r="E843" s="9" t="s">
        <v>261</v>
      </c>
      <c r="F843" s="9" t="s">
        <v>287</v>
      </c>
      <c r="G843" s="10">
        <v>0.4</v>
      </c>
      <c r="H843" s="15">
        <v>68</v>
      </c>
      <c r="I843" s="15">
        <v>28</v>
      </c>
      <c r="J843" s="15">
        <v>26</v>
      </c>
      <c r="K843" s="15">
        <v>60.9</v>
      </c>
    </row>
    <row r="844" spans="1:11" ht="15" customHeight="1" x14ac:dyDescent="0.2">
      <c r="A844" s="9" t="s">
        <v>569</v>
      </c>
      <c r="B844" s="9" t="s">
        <v>1573</v>
      </c>
      <c r="C844" s="9" t="s">
        <v>248</v>
      </c>
      <c r="D844" s="9" t="s">
        <v>253</v>
      </c>
      <c r="E844" s="9" t="s">
        <v>262</v>
      </c>
      <c r="F844" s="9" t="s">
        <v>287</v>
      </c>
      <c r="G844" s="10">
        <v>0.4</v>
      </c>
      <c r="H844" s="15">
        <v>35</v>
      </c>
      <c r="I844" s="15">
        <v>33</v>
      </c>
      <c r="J844" s="15">
        <v>13</v>
      </c>
      <c r="K844" s="15">
        <v>14.5</v>
      </c>
    </row>
    <row r="845" spans="1:11" ht="15" customHeight="1" x14ac:dyDescent="0.2">
      <c r="A845" s="9" t="s">
        <v>570</v>
      </c>
      <c r="B845" s="9" t="s">
        <v>1573</v>
      </c>
      <c r="C845" s="9" t="s">
        <v>248</v>
      </c>
      <c r="D845" s="9" t="s">
        <v>253</v>
      </c>
      <c r="E845" s="9" t="s">
        <v>262</v>
      </c>
      <c r="F845" s="9" t="s">
        <v>287</v>
      </c>
      <c r="G845" s="10">
        <v>0.35</v>
      </c>
      <c r="H845" s="15">
        <v>41</v>
      </c>
      <c r="I845" s="15">
        <v>43</v>
      </c>
      <c r="J845" s="15">
        <v>24</v>
      </c>
      <c r="K845" s="15">
        <v>27.2</v>
      </c>
    </row>
    <row r="846" spans="1:11" ht="15" customHeight="1" x14ac:dyDescent="0.2">
      <c r="A846" s="9" t="s">
        <v>571</v>
      </c>
      <c r="B846" s="9" t="s">
        <v>1573</v>
      </c>
      <c r="C846" s="9" t="s">
        <v>248</v>
      </c>
      <c r="D846" s="9" t="s">
        <v>258</v>
      </c>
      <c r="E846" s="9" t="s">
        <v>262</v>
      </c>
      <c r="F846" s="9" t="s">
        <v>287</v>
      </c>
      <c r="G846" s="10">
        <v>0.4</v>
      </c>
      <c r="H846" s="15">
        <v>67</v>
      </c>
      <c r="I846" s="15">
        <v>43</v>
      </c>
      <c r="J846" s="15">
        <v>30</v>
      </c>
      <c r="K846" s="15">
        <v>84.1</v>
      </c>
    </row>
    <row r="847" spans="1:11" ht="15" customHeight="1" x14ac:dyDescent="0.2">
      <c r="A847" s="9" t="s">
        <v>572</v>
      </c>
      <c r="B847" s="9" t="s">
        <v>1573</v>
      </c>
      <c r="C847" s="9" t="s">
        <v>248</v>
      </c>
      <c r="D847" s="9" t="s">
        <v>253</v>
      </c>
      <c r="E847" s="9" t="s">
        <v>262</v>
      </c>
      <c r="F847" s="9" t="s">
        <v>287</v>
      </c>
      <c r="G847" s="10">
        <v>0.2</v>
      </c>
      <c r="H847" s="15">
        <v>105</v>
      </c>
      <c r="I847" s="15">
        <v>78</v>
      </c>
      <c r="J847" s="15">
        <v>27</v>
      </c>
      <c r="K847" s="15">
        <v>199.6</v>
      </c>
    </row>
    <row r="848" spans="1:11" ht="15" customHeight="1" x14ac:dyDescent="0.2">
      <c r="A848" s="9" t="s">
        <v>573</v>
      </c>
      <c r="B848" s="9" t="s">
        <v>1573</v>
      </c>
      <c r="C848" s="9" t="s">
        <v>248</v>
      </c>
      <c r="D848" s="9" t="s">
        <v>251</v>
      </c>
      <c r="E848" s="9" t="s">
        <v>261</v>
      </c>
      <c r="F848" s="9" t="s">
        <v>287</v>
      </c>
      <c r="G848" s="10">
        <v>0.4</v>
      </c>
      <c r="H848" s="15">
        <v>52</v>
      </c>
      <c r="I848" s="15">
        <v>50</v>
      </c>
      <c r="J848" s="15">
        <v>34</v>
      </c>
      <c r="K848" s="15">
        <v>101.8</v>
      </c>
    </row>
    <row r="849" spans="1:11" ht="15" customHeight="1" x14ac:dyDescent="0.2">
      <c r="A849" s="9" t="s">
        <v>574</v>
      </c>
      <c r="B849" s="9" t="s">
        <v>1573</v>
      </c>
      <c r="C849" s="9" t="s">
        <v>248</v>
      </c>
      <c r="D849" s="9" t="s">
        <v>751</v>
      </c>
      <c r="E849" s="9" t="s">
        <v>263</v>
      </c>
      <c r="F849" s="9" t="s">
        <v>287</v>
      </c>
      <c r="G849" s="10">
        <v>0.4</v>
      </c>
      <c r="H849" s="15">
        <v>58</v>
      </c>
      <c r="I849" s="15">
        <v>53</v>
      </c>
      <c r="J849" s="15">
        <v>32</v>
      </c>
      <c r="K849" s="15">
        <v>160.80000000000001</v>
      </c>
    </row>
    <row r="850" spans="1:11" ht="15" customHeight="1" x14ac:dyDescent="0.2">
      <c r="A850" s="9" t="s">
        <v>575</v>
      </c>
      <c r="B850" s="9" t="s">
        <v>1573</v>
      </c>
      <c r="C850" s="9" t="s">
        <v>248</v>
      </c>
      <c r="D850" s="9" t="s">
        <v>251</v>
      </c>
      <c r="E850" s="9" t="s">
        <v>262</v>
      </c>
      <c r="F850" s="9" t="s">
        <v>287</v>
      </c>
      <c r="G850" s="10">
        <v>0.3</v>
      </c>
      <c r="H850" s="15">
        <v>50</v>
      </c>
      <c r="I850" s="15">
        <v>46</v>
      </c>
      <c r="J850" s="15">
        <v>28</v>
      </c>
      <c r="K850" s="15">
        <v>59.4</v>
      </c>
    </row>
    <row r="851" spans="1:11" ht="15" customHeight="1" x14ac:dyDescent="0.2">
      <c r="A851" s="9" t="s">
        <v>576</v>
      </c>
      <c r="B851" s="9" t="s">
        <v>1573</v>
      </c>
      <c r="C851" s="9" t="s">
        <v>248</v>
      </c>
      <c r="D851" s="9" t="s">
        <v>253</v>
      </c>
      <c r="E851" s="9" t="s">
        <v>262</v>
      </c>
      <c r="F851" s="9" t="s">
        <v>287</v>
      </c>
      <c r="G851" s="10">
        <v>0.4</v>
      </c>
      <c r="H851" s="15">
        <v>56</v>
      </c>
      <c r="I851" s="15">
        <v>36</v>
      </c>
      <c r="J851" s="15">
        <v>26</v>
      </c>
      <c r="K851" s="15">
        <v>55.9</v>
      </c>
    </row>
    <row r="852" spans="1:11" ht="15" customHeight="1" x14ac:dyDescent="0.2">
      <c r="A852" s="9" t="s">
        <v>578</v>
      </c>
      <c r="B852" s="9" t="s">
        <v>1573</v>
      </c>
      <c r="C852" s="9" t="s">
        <v>248</v>
      </c>
      <c r="D852" s="9" t="s">
        <v>253</v>
      </c>
      <c r="E852" s="9" t="s">
        <v>262</v>
      </c>
      <c r="F852" s="9" t="s">
        <v>287</v>
      </c>
      <c r="G852" s="10">
        <v>0.4</v>
      </c>
      <c r="H852" s="15">
        <v>57</v>
      </c>
      <c r="I852" s="15">
        <v>44</v>
      </c>
      <c r="J852" s="15">
        <v>26</v>
      </c>
      <c r="K852" s="15">
        <v>89.7</v>
      </c>
    </row>
    <row r="853" spans="1:11" ht="15" customHeight="1" x14ac:dyDescent="0.2">
      <c r="A853" s="9" t="s">
        <v>579</v>
      </c>
      <c r="B853" s="9" t="s">
        <v>1573</v>
      </c>
      <c r="C853" s="9" t="s">
        <v>248</v>
      </c>
      <c r="D853" s="9" t="s">
        <v>251</v>
      </c>
      <c r="E853" s="9" t="s">
        <v>261</v>
      </c>
      <c r="F853" s="9" t="s">
        <v>287</v>
      </c>
      <c r="G853" s="10">
        <v>0.4</v>
      </c>
      <c r="H853" s="15">
        <v>66</v>
      </c>
      <c r="I853" s="15">
        <v>47</v>
      </c>
      <c r="J853" s="15">
        <v>23</v>
      </c>
      <c r="K853" s="15">
        <v>97.3</v>
      </c>
    </row>
    <row r="854" spans="1:11" ht="15" customHeight="1" x14ac:dyDescent="0.2">
      <c r="A854" s="9" t="s">
        <v>580</v>
      </c>
      <c r="B854" s="9" t="s">
        <v>1573</v>
      </c>
      <c r="C854" s="9" t="s">
        <v>248</v>
      </c>
      <c r="D854" s="9" t="s">
        <v>255</v>
      </c>
      <c r="E854" s="9" t="s">
        <v>262</v>
      </c>
      <c r="F854" s="9" t="s">
        <v>287</v>
      </c>
      <c r="G854" s="10">
        <v>0.55000000000000004</v>
      </c>
      <c r="H854" s="15">
        <v>40</v>
      </c>
      <c r="I854" s="15">
        <v>32</v>
      </c>
      <c r="J854" s="15">
        <v>13</v>
      </c>
      <c r="K854" s="15">
        <v>21.6</v>
      </c>
    </row>
    <row r="855" spans="1:11" ht="15" customHeight="1" x14ac:dyDescent="0.2">
      <c r="A855" s="9" t="s">
        <v>581</v>
      </c>
      <c r="B855" s="9" t="s">
        <v>1573</v>
      </c>
      <c r="C855" s="9" t="s">
        <v>248</v>
      </c>
      <c r="D855" s="9" t="s">
        <v>253</v>
      </c>
      <c r="E855" s="9" t="s">
        <v>261</v>
      </c>
      <c r="F855" s="9" t="s">
        <v>287</v>
      </c>
      <c r="G855" s="10">
        <v>0.4</v>
      </c>
      <c r="H855" s="15">
        <v>81</v>
      </c>
      <c r="I855" s="15">
        <v>55</v>
      </c>
      <c r="J855" s="15">
        <v>49</v>
      </c>
      <c r="K855" s="15">
        <v>288.3</v>
      </c>
    </row>
    <row r="856" spans="1:11" ht="15" customHeight="1" x14ac:dyDescent="0.2">
      <c r="A856" s="9" t="s">
        <v>582</v>
      </c>
      <c r="B856" s="9" t="s">
        <v>1573</v>
      </c>
      <c r="C856" s="9" t="s">
        <v>248</v>
      </c>
      <c r="D856" s="9" t="s">
        <v>251</v>
      </c>
      <c r="E856" s="9" t="s">
        <v>261</v>
      </c>
      <c r="F856" s="9" t="s">
        <v>287</v>
      </c>
      <c r="G856" s="10">
        <v>0.55000000000000004</v>
      </c>
      <c r="H856" s="15">
        <v>56</v>
      </c>
      <c r="I856" s="15">
        <v>30</v>
      </c>
      <c r="J856" s="15">
        <v>14</v>
      </c>
      <c r="K856" s="15">
        <v>26.8</v>
      </c>
    </row>
    <row r="857" spans="1:11" ht="15" customHeight="1" x14ac:dyDescent="0.2">
      <c r="A857" s="9" t="s">
        <v>583</v>
      </c>
      <c r="B857" s="9" t="s">
        <v>1573</v>
      </c>
      <c r="C857" s="9" t="s">
        <v>248</v>
      </c>
      <c r="D857" s="9" t="s">
        <v>251</v>
      </c>
      <c r="E857" s="9" t="s">
        <v>261</v>
      </c>
      <c r="F857" s="9" t="s">
        <v>287</v>
      </c>
      <c r="G857" s="10">
        <v>0.4</v>
      </c>
      <c r="H857" s="15">
        <v>70</v>
      </c>
      <c r="I857" s="15">
        <v>47</v>
      </c>
      <c r="J857" s="15">
        <v>38</v>
      </c>
      <c r="K857" s="15">
        <v>121.9</v>
      </c>
    </row>
    <row r="858" spans="1:11" ht="15" customHeight="1" x14ac:dyDescent="0.2">
      <c r="A858" s="9" t="s">
        <v>584</v>
      </c>
      <c r="B858" s="9" t="s">
        <v>1573</v>
      </c>
      <c r="C858" s="9" t="s">
        <v>248</v>
      </c>
      <c r="D858" s="9" t="s">
        <v>251</v>
      </c>
      <c r="E858" s="9" t="s">
        <v>261</v>
      </c>
      <c r="F858" s="9" t="s">
        <v>287</v>
      </c>
      <c r="G858" s="10">
        <v>0.35</v>
      </c>
      <c r="H858" s="15">
        <v>41</v>
      </c>
      <c r="I858" s="15">
        <v>35</v>
      </c>
      <c r="J858" s="15">
        <v>27</v>
      </c>
      <c r="K858" s="15">
        <v>40</v>
      </c>
    </row>
    <row r="859" spans="1:11" ht="15" customHeight="1" x14ac:dyDescent="0.2">
      <c r="A859" s="9" t="s">
        <v>585</v>
      </c>
      <c r="B859" s="9" t="s">
        <v>1573</v>
      </c>
      <c r="C859" s="9" t="s">
        <v>248</v>
      </c>
      <c r="D859" s="9" t="s">
        <v>258</v>
      </c>
      <c r="E859" s="9" t="s">
        <v>262</v>
      </c>
      <c r="F859" s="9" t="s">
        <v>287</v>
      </c>
      <c r="G859" s="10">
        <v>0.31</v>
      </c>
      <c r="H859" s="15">
        <v>37</v>
      </c>
      <c r="I859" s="15">
        <v>31</v>
      </c>
      <c r="J859" s="15">
        <v>31</v>
      </c>
      <c r="K859" s="15">
        <v>35.4</v>
      </c>
    </row>
    <row r="860" spans="1:11" ht="15" customHeight="1" x14ac:dyDescent="0.2">
      <c r="A860" s="9" t="s">
        <v>586</v>
      </c>
      <c r="B860" s="9" t="s">
        <v>1573</v>
      </c>
      <c r="C860" s="9" t="s">
        <v>248</v>
      </c>
      <c r="D860" s="9" t="s">
        <v>258</v>
      </c>
      <c r="E860" s="9" t="s">
        <v>262</v>
      </c>
      <c r="F860" s="9" t="s">
        <v>287</v>
      </c>
      <c r="G860" s="10">
        <v>0.65</v>
      </c>
      <c r="H860" s="15">
        <v>73</v>
      </c>
      <c r="I860" s="15">
        <v>44</v>
      </c>
      <c r="J860" s="15">
        <v>30</v>
      </c>
      <c r="K860" s="15">
        <v>140.9</v>
      </c>
    </row>
    <row r="861" spans="1:11" ht="15" customHeight="1" x14ac:dyDescent="0.2">
      <c r="A861" s="9" t="s">
        <v>587</v>
      </c>
      <c r="B861" s="9" t="s">
        <v>1573</v>
      </c>
      <c r="C861" s="9" t="s">
        <v>248</v>
      </c>
      <c r="D861" s="9" t="s">
        <v>258</v>
      </c>
      <c r="E861" s="9" t="s">
        <v>262</v>
      </c>
      <c r="F861" s="9" t="s">
        <v>287</v>
      </c>
      <c r="G861" s="10">
        <v>0.5</v>
      </c>
      <c r="H861" s="15">
        <v>35</v>
      </c>
      <c r="I861" s="15">
        <v>22</v>
      </c>
      <c r="J861" s="15">
        <v>13</v>
      </c>
      <c r="K861" s="15">
        <v>11.5</v>
      </c>
    </row>
    <row r="862" spans="1:11" ht="15" customHeight="1" x14ac:dyDescent="0.2">
      <c r="A862" s="9" t="s">
        <v>638</v>
      </c>
      <c r="B862" s="9" t="s">
        <v>1573</v>
      </c>
      <c r="C862" s="9" t="s">
        <v>247</v>
      </c>
      <c r="D862" s="9" t="s">
        <v>251</v>
      </c>
      <c r="E862" s="9" t="s">
        <v>261</v>
      </c>
      <c r="F862" s="9" t="s">
        <v>287</v>
      </c>
      <c r="G862" s="10">
        <v>0</v>
      </c>
      <c r="H862" s="15">
        <v>36</v>
      </c>
      <c r="I862" s="15">
        <v>35</v>
      </c>
      <c r="J862" s="15">
        <v>12</v>
      </c>
      <c r="K862" s="15">
        <v>15.8</v>
      </c>
    </row>
    <row r="863" spans="1:11" ht="15" customHeight="1" x14ac:dyDescent="0.2">
      <c r="A863" s="9" t="s">
        <v>639</v>
      </c>
      <c r="B863" s="9" t="s">
        <v>1573</v>
      </c>
      <c r="C863" s="9" t="s">
        <v>247</v>
      </c>
      <c r="D863" s="9" t="s">
        <v>251</v>
      </c>
      <c r="E863" s="9" t="s">
        <v>261</v>
      </c>
      <c r="F863" s="9" t="s">
        <v>287</v>
      </c>
      <c r="G863" s="10">
        <v>0.6</v>
      </c>
      <c r="H863" s="15">
        <v>64</v>
      </c>
      <c r="I863" s="15">
        <v>61</v>
      </c>
      <c r="J863" s="15">
        <v>40</v>
      </c>
      <c r="K863" s="15">
        <v>164.4</v>
      </c>
    </row>
    <row r="864" spans="1:11" ht="15" customHeight="1" x14ac:dyDescent="0.2">
      <c r="A864" s="9" t="s">
        <v>640</v>
      </c>
      <c r="B864" s="9" t="s">
        <v>1573</v>
      </c>
      <c r="C864" s="9" t="s">
        <v>693</v>
      </c>
      <c r="D864" s="9" t="s">
        <v>255</v>
      </c>
      <c r="E864" s="9" t="s">
        <v>262</v>
      </c>
      <c r="F864" s="9" t="s">
        <v>287</v>
      </c>
      <c r="G864" s="10">
        <v>0.6</v>
      </c>
      <c r="H864" s="15">
        <v>96</v>
      </c>
      <c r="I864" s="15">
        <v>67</v>
      </c>
      <c r="J864" s="15">
        <v>65</v>
      </c>
      <c r="K864" s="15">
        <v>544.29999999999995</v>
      </c>
    </row>
    <row r="865" spans="1:11" ht="15" customHeight="1" x14ac:dyDescent="0.2">
      <c r="A865" s="9" t="s">
        <v>152</v>
      </c>
      <c r="B865" s="9" t="s">
        <v>1573</v>
      </c>
      <c r="C865" s="9" t="s">
        <v>247</v>
      </c>
      <c r="D865" s="9" t="s">
        <v>258</v>
      </c>
      <c r="E865" s="9" t="s">
        <v>261</v>
      </c>
      <c r="F865" s="9" t="s">
        <v>287</v>
      </c>
      <c r="G865" s="10">
        <v>0.55000000000000004</v>
      </c>
      <c r="H865" s="15">
        <v>80</v>
      </c>
      <c r="I865" s="15">
        <v>60</v>
      </c>
      <c r="J865" s="15">
        <v>53</v>
      </c>
      <c r="K865" s="15">
        <v>326.89999999999998</v>
      </c>
    </row>
    <row r="866" spans="1:11" ht="15" customHeight="1" x14ac:dyDescent="0.2">
      <c r="A866" s="9" t="s">
        <v>161</v>
      </c>
      <c r="B866" s="9" t="s">
        <v>1573</v>
      </c>
      <c r="C866" s="9" t="s">
        <v>247</v>
      </c>
      <c r="D866" s="9" t="s">
        <v>252</v>
      </c>
      <c r="E866" s="9" t="s">
        <v>260</v>
      </c>
      <c r="F866" s="9" t="s">
        <v>287</v>
      </c>
      <c r="G866" s="10">
        <v>0.6</v>
      </c>
      <c r="H866" s="15">
        <v>84</v>
      </c>
      <c r="I866" s="15">
        <v>80</v>
      </c>
      <c r="J866" s="15">
        <v>55</v>
      </c>
      <c r="K866" s="15">
        <v>420</v>
      </c>
    </row>
    <row r="867" spans="1:11" ht="15" customHeight="1" x14ac:dyDescent="0.2">
      <c r="A867" s="9" t="s">
        <v>169</v>
      </c>
      <c r="B867" s="9" t="s">
        <v>1573</v>
      </c>
      <c r="C867" s="9" t="s">
        <v>248</v>
      </c>
      <c r="D867" s="9" t="s">
        <v>255</v>
      </c>
      <c r="E867" s="9" t="s">
        <v>261</v>
      </c>
      <c r="F867" s="9" t="s">
        <v>287</v>
      </c>
      <c r="G867" s="10">
        <v>0.45</v>
      </c>
      <c r="H867" s="15">
        <v>68</v>
      </c>
      <c r="I867" s="15">
        <v>55</v>
      </c>
      <c r="J867" s="15">
        <v>33</v>
      </c>
      <c r="K867" s="15">
        <v>150</v>
      </c>
    </row>
    <row r="868" spans="1:11" ht="15" customHeight="1" x14ac:dyDescent="0.2">
      <c r="A868" t="s">
        <v>1151</v>
      </c>
      <c r="B868" s="9" t="s">
        <v>1573</v>
      </c>
      <c r="C868" s="9" t="s">
        <v>693</v>
      </c>
      <c r="D868" s="9" t="s">
        <v>251</v>
      </c>
      <c r="E868" s="9" t="s">
        <v>261</v>
      </c>
      <c r="F868" s="9" t="s">
        <v>287</v>
      </c>
      <c r="G868" s="10">
        <v>0.4</v>
      </c>
      <c r="H868" s="15">
        <v>84</v>
      </c>
      <c r="I868" s="15">
        <v>50</v>
      </c>
      <c r="J868" s="15">
        <v>26</v>
      </c>
      <c r="K868" s="15">
        <v>185.4</v>
      </c>
    </row>
    <row r="869" spans="1:11" ht="15" customHeight="1" x14ac:dyDescent="0.2">
      <c r="A869" t="s">
        <v>1581</v>
      </c>
      <c r="B869" s="9" t="s">
        <v>1573</v>
      </c>
      <c r="C869" s="9" t="s">
        <v>247</v>
      </c>
      <c r="D869" s="9" t="s">
        <v>251</v>
      </c>
      <c r="E869" s="9" t="s">
        <v>262</v>
      </c>
      <c r="F869" s="9" t="s">
        <v>287</v>
      </c>
      <c r="G869" s="10">
        <v>0.45</v>
      </c>
      <c r="H869" s="15">
        <v>83</v>
      </c>
      <c r="I869" s="15">
        <v>64</v>
      </c>
      <c r="J869" s="15">
        <v>30</v>
      </c>
      <c r="K869" s="15">
        <v>282.8</v>
      </c>
    </row>
    <row r="870" spans="1:11" ht="15" customHeight="1" x14ac:dyDescent="0.2">
      <c r="A870" t="s">
        <v>1045</v>
      </c>
      <c r="B870" s="9" t="s">
        <v>1573</v>
      </c>
      <c r="C870" s="9" t="s">
        <v>248</v>
      </c>
      <c r="D870" s="9" t="s">
        <v>251</v>
      </c>
      <c r="E870" s="9" t="s">
        <v>262</v>
      </c>
      <c r="F870" s="9" t="s">
        <v>287</v>
      </c>
      <c r="G870" s="10">
        <v>0.6</v>
      </c>
      <c r="H870" s="15">
        <v>49</v>
      </c>
      <c r="I870" s="15">
        <v>60</v>
      </c>
      <c r="J870" s="15">
        <v>34</v>
      </c>
      <c r="K870" s="15">
        <v>203.4</v>
      </c>
    </row>
    <row r="871" spans="1:11" ht="15" customHeight="1" x14ac:dyDescent="0.2">
      <c r="A871" s="9" t="s">
        <v>1510</v>
      </c>
      <c r="B871" s="9" t="s">
        <v>1573</v>
      </c>
      <c r="C871" s="9" t="s">
        <v>247</v>
      </c>
      <c r="D871" s="9" t="s">
        <v>253</v>
      </c>
      <c r="E871" s="9" t="s">
        <v>260</v>
      </c>
      <c r="F871" s="9" t="s">
        <v>287</v>
      </c>
      <c r="G871" s="10">
        <v>0.7</v>
      </c>
      <c r="H871" s="15">
        <v>77</v>
      </c>
      <c r="I871" s="15">
        <v>49</v>
      </c>
      <c r="J871" s="15">
        <v>25</v>
      </c>
      <c r="K871" s="15">
        <v>251.1</v>
      </c>
    </row>
    <row r="872" spans="1:11" ht="15" customHeight="1" x14ac:dyDescent="0.2">
      <c r="A872" s="9" t="s">
        <v>1511</v>
      </c>
      <c r="B872" s="9" t="s">
        <v>1573</v>
      </c>
      <c r="C872" s="9" t="s">
        <v>247</v>
      </c>
      <c r="D872" s="9" t="s">
        <v>253</v>
      </c>
      <c r="E872" s="9" t="s">
        <v>260</v>
      </c>
      <c r="F872" s="9" t="s">
        <v>287</v>
      </c>
      <c r="G872" s="10">
        <v>0.4</v>
      </c>
      <c r="H872" s="15">
        <v>62</v>
      </c>
      <c r="I872" s="15">
        <v>48</v>
      </c>
      <c r="J872" s="15">
        <v>31</v>
      </c>
      <c r="K872" s="15">
        <v>182.4</v>
      </c>
    </row>
    <row r="873" spans="1:11" ht="15" customHeight="1" x14ac:dyDescent="0.2">
      <c r="A873" s="9" t="s">
        <v>1512</v>
      </c>
      <c r="B873" s="9" t="s">
        <v>1573</v>
      </c>
      <c r="C873" s="9" t="s">
        <v>247</v>
      </c>
      <c r="D873" s="9" t="s">
        <v>253</v>
      </c>
      <c r="E873" s="9" t="s">
        <v>261</v>
      </c>
      <c r="F873" s="9" t="s">
        <v>287</v>
      </c>
      <c r="G873" s="10">
        <v>0.4</v>
      </c>
      <c r="H873" s="15">
        <v>74</v>
      </c>
      <c r="I873" s="15">
        <v>56</v>
      </c>
      <c r="J873" s="15">
        <v>55</v>
      </c>
      <c r="K873" s="15">
        <v>508.1</v>
      </c>
    </row>
    <row r="874" spans="1:11" ht="15" customHeight="1" x14ac:dyDescent="0.2">
      <c r="A874" s="9" t="s">
        <v>1513</v>
      </c>
      <c r="B874" s="9" t="s">
        <v>1573</v>
      </c>
      <c r="C874" s="9" t="s">
        <v>247</v>
      </c>
      <c r="D874" s="9" t="s">
        <v>253</v>
      </c>
      <c r="E874" s="9" t="s">
        <v>261</v>
      </c>
      <c r="F874" s="9" t="s">
        <v>287</v>
      </c>
      <c r="G874" s="10">
        <v>0.4</v>
      </c>
      <c r="H874" s="15">
        <v>68</v>
      </c>
      <c r="I874" s="15">
        <v>72</v>
      </c>
      <c r="J874" s="15">
        <v>34</v>
      </c>
      <c r="K874" s="15">
        <v>376.6</v>
      </c>
    </row>
    <row r="875" spans="1:11" ht="15" customHeight="1" x14ac:dyDescent="0.2">
      <c r="A875" s="9" t="s">
        <v>1514</v>
      </c>
      <c r="B875" s="9" t="s">
        <v>1573</v>
      </c>
      <c r="C875" s="9" t="s">
        <v>247</v>
      </c>
      <c r="D875" s="9" t="s">
        <v>253</v>
      </c>
      <c r="E875" s="9" t="s">
        <v>261</v>
      </c>
      <c r="F875" s="9" t="s">
        <v>287</v>
      </c>
      <c r="G875" s="10">
        <v>0.4</v>
      </c>
      <c r="H875" s="15">
        <v>69</v>
      </c>
      <c r="I875" s="15">
        <v>51</v>
      </c>
      <c r="J875" s="15">
        <v>51</v>
      </c>
      <c r="K875" s="15">
        <v>368.3</v>
      </c>
    </row>
    <row r="876" spans="1:11" ht="15" customHeight="1" x14ac:dyDescent="0.2">
      <c r="A876" s="9" t="s">
        <v>1515</v>
      </c>
      <c r="B876" s="9" t="s">
        <v>1573</v>
      </c>
      <c r="C876" s="9" t="s">
        <v>247</v>
      </c>
      <c r="D876" s="9" t="s">
        <v>253</v>
      </c>
      <c r="E876" s="9" t="s">
        <v>261</v>
      </c>
      <c r="F876" s="9" t="s">
        <v>287</v>
      </c>
      <c r="G876" s="10">
        <v>0.4</v>
      </c>
      <c r="H876" s="15">
        <v>50</v>
      </c>
      <c r="I876" s="15">
        <v>28</v>
      </c>
      <c r="J876" s="15">
        <v>36</v>
      </c>
      <c r="K876" s="15">
        <v>120.4</v>
      </c>
    </row>
    <row r="877" spans="1:11" ht="15" customHeight="1" x14ac:dyDescent="0.2">
      <c r="A877" s="9" t="s">
        <v>1516</v>
      </c>
      <c r="B877" s="9" t="s">
        <v>1573</v>
      </c>
      <c r="C877" s="9" t="s">
        <v>247</v>
      </c>
      <c r="D877" s="9" t="s">
        <v>253</v>
      </c>
      <c r="E877" s="9" t="s">
        <v>261</v>
      </c>
      <c r="F877" s="9" t="s">
        <v>287</v>
      </c>
      <c r="G877" s="10">
        <v>0.6</v>
      </c>
      <c r="H877" s="15">
        <v>46</v>
      </c>
      <c r="I877" s="15">
        <v>54</v>
      </c>
      <c r="J877" s="15">
        <v>14</v>
      </c>
      <c r="K877" s="15">
        <v>68.599999999999994</v>
      </c>
    </row>
    <row r="878" spans="1:11" ht="15" customHeight="1" x14ac:dyDescent="0.2">
      <c r="A878" s="9" t="s">
        <v>1517</v>
      </c>
      <c r="B878" s="9" t="s">
        <v>1573</v>
      </c>
      <c r="C878" s="9" t="s">
        <v>247</v>
      </c>
      <c r="D878" s="9" t="s">
        <v>253</v>
      </c>
      <c r="E878" s="9" t="s">
        <v>260</v>
      </c>
      <c r="F878" s="9" t="s">
        <v>287</v>
      </c>
      <c r="G878" s="10">
        <v>0.4</v>
      </c>
      <c r="H878" s="15">
        <v>33</v>
      </c>
      <c r="I878" s="15">
        <v>39</v>
      </c>
      <c r="J878" s="15">
        <v>12</v>
      </c>
      <c r="K878" s="15">
        <v>38.799999999999997</v>
      </c>
    </row>
    <row r="879" spans="1:11" ht="15" customHeight="1" x14ac:dyDescent="0.2">
      <c r="A879" s="9" t="s">
        <v>1518</v>
      </c>
      <c r="B879" s="9" t="s">
        <v>1573</v>
      </c>
      <c r="C879" s="9" t="s">
        <v>247</v>
      </c>
      <c r="D879" s="9" t="s">
        <v>253</v>
      </c>
      <c r="E879" s="9" t="s">
        <v>261</v>
      </c>
      <c r="F879" s="9" t="s">
        <v>287</v>
      </c>
      <c r="G879" s="10">
        <v>0.65</v>
      </c>
      <c r="H879" s="15">
        <v>67</v>
      </c>
      <c r="I879" s="15">
        <v>24</v>
      </c>
      <c r="J879" s="15">
        <v>15</v>
      </c>
      <c r="K879" s="15">
        <v>40.700000000000003</v>
      </c>
    </row>
    <row r="880" spans="1:11" ht="15" customHeight="1" x14ac:dyDescent="0.2">
      <c r="A880" s="9" t="s">
        <v>1519</v>
      </c>
      <c r="B880" s="9" t="s">
        <v>1573</v>
      </c>
      <c r="C880" s="9" t="s">
        <v>247</v>
      </c>
      <c r="D880" s="9" t="s">
        <v>253</v>
      </c>
      <c r="E880" s="9" t="s">
        <v>261</v>
      </c>
      <c r="F880" s="9" t="s">
        <v>287</v>
      </c>
      <c r="G880" s="10">
        <v>0.2</v>
      </c>
      <c r="H880" s="15">
        <v>62</v>
      </c>
      <c r="I880" s="15">
        <v>37</v>
      </c>
      <c r="J880" s="15">
        <v>27</v>
      </c>
      <c r="K880" s="15">
        <v>136.19999999999999</v>
      </c>
    </row>
    <row r="881" spans="1:11" ht="15" customHeight="1" x14ac:dyDescent="0.2">
      <c r="A881" s="9" t="s">
        <v>1520</v>
      </c>
      <c r="B881" s="9" t="s">
        <v>1573</v>
      </c>
      <c r="C881" s="9" t="s">
        <v>247</v>
      </c>
      <c r="D881" s="9" t="s">
        <v>253</v>
      </c>
      <c r="E881" s="9" t="s">
        <v>261</v>
      </c>
      <c r="F881" s="9" t="s">
        <v>287</v>
      </c>
      <c r="G881" s="10">
        <v>0.1</v>
      </c>
      <c r="H881" s="15">
        <v>56</v>
      </c>
      <c r="I881" s="15">
        <v>40</v>
      </c>
      <c r="J881" s="15">
        <v>24</v>
      </c>
      <c r="K881" s="15">
        <v>163.9</v>
      </c>
    </row>
    <row r="882" spans="1:11" ht="15" customHeight="1" x14ac:dyDescent="0.2">
      <c r="A882" s="9" t="s">
        <v>1521</v>
      </c>
      <c r="B882" s="9" t="s">
        <v>1573</v>
      </c>
      <c r="C882" s="9" t="s">
        <v>247</v>
      </c>
      <c r="D882" s="9" t="s">
        <v>253</v>
      </c>
      <c r="E882" s="9" t="s">
        <v>261</v>
      </c>
      <c r="F882" s="9" t="s">
        <v>287</v>
      </c>
      <c r="G882" s="10">
        <v>0.55000000000000004</v>
      </c>
      <c r="H882" s="15">
        <v>61</v>
      </c>
      <c r="I882" s="15">
        <v>53</v>
      </c>
      <c r="J882" s="15">
        <v>35</v>
      </c>
      <c r="K882" s="15">
        <v>203.2</v>
      </c>
    </row>
    <row r="883" spans="1:11" ht="15" customHeight="1" x14ac:dyDescent="0.2">
      <c r="A883" s="9" t="s">
        <v>1522</v>
      </c>
      <c r="B883" s="9" t="s">
        <v>1573</v>
      </c>
      <c r="C883" s="9" t="s">
        <v>247</v>
      </c>
      <c r="D883" s="9" t="s">
        <v>253</v>
      </c>
      <c r="E883" s="9" t="s">
        <v>262</v>
      </c>
      <c r="F883" s="9" t="s">
        <v>287</v>
      </c>
      <c r="G883" s="10">
        <v>0.4</v>
      </c>
      <c r="H883" s="15">
        <v>86</v>
      </c>
      <c r="I883" s="15">
        <v>72</v>
      </c>
      <c r="J883" s="15">
        <v>41</v>
      </c>
      <c r="K883" s="15">
        <v>483.1</v>
      </c>
    </row>
    <row r="884" spans="1:11" ht="15" customHeight="1" x14ac:dyDescent="0.2">
      <c r="A884" s="9" t="s">
        <v>1523</v>
      </c>
      <c r="B884" s="9" t="s">
        <v>1573</v>
      </c>
      <c r="C884" s="9" t="s">
        <v>247</v>
      </c>
      <c r="D884" s="9" t="s">
        <v>253</v>
      </c>
      <c r="E884" s="9" t="s">
        <v>261</v>
      </c>
      <c r="F884" s="9" t="s">
        <v>287</v>
      </c>
      <c r="G884" s="10">
        <v>0.3</v>
      </c>
      <c r="H884" s="15">
        <v>83</v>
      </c>
      <c r="I884" s="15">
        <v>52</v>
      </c>
      <c r="J884" s="15">
        <v>45</v>
      </c>
      <c r="K884" s="15">
        <v>458</v>
      </c>
    </row>
    <row r="885" spans="1:11" ht="15" customHeight="1" x14ac:dyDescent="0.2">
      <c r="A885" s="9" t="s">
        <v>1524</v>
      </c>
      <c r="B885" s="9" t="s">
        <v>1573</v>
      </c>
      <c r="C885" s="9" t="s">
        <v>247</v>
      </c>
      <c r="D885" s="9" t="s">
        <v>253</v>
      </c>
      <c r="E885" s="9" t="s">
        <v>261</v>
      </c>
      <c r="F885" s="9" t="s">
        <v>287</v>
      </c>
      <c r="G885" s="10">
        <v>0.6</v>
      </c>
      <c r="H885" s="15">
        <v>42</v>
      </c>
      <c r="I885" s="15">
        <v>50</v>
      </c>
      <c r="J885" s="15">
        <v>28</v>
      </c>
      <c r="K885" s="15">
        <v>130.6</v>
      </c>
    </row>
    <row r="886" spans="1:11" ht="15" customHeight="1" x14ac:dyDescent="0.2">
      <c r="A886" s="9" t="s">
        <v>1525</v>
      </c>
      <c r="B886" s="9" t="s">
        <v>1573</v>
      </c>
      <c r="C886" s="9" t="s">
        <v>247</v>
      </c>
      <c r="D886" s="9" t="s">
        <v>253</v>
      </c>
      <c r="E886" s="9" t="s">
        <v>261</v>
      </c>
      <c r="F886" s="9" t="s">
        <v>287</v>
      </c>
      <c r="G886" s="10">
        <v>0.4</v>
      </c>
      <c r="H886" s="15">
        <v>46</v>
      </c>
      <c r="I886" s="15">
        <v>44</v>
      </c>
      <c r="J886" s="15">
        <v>28</v>
      </c>
      <c r="K886" s="15">
        <v>129.80000000000001</v>
      </c>
    </row>
    <row r="887" spans="1:11" ht="15" customHeight="1" x14ac:dyDescent="0.2">
      <c r="A887" s="9" t="s">
        <v>1526</v>
      </c>
      <c r="B887" s="9" t="s">
        <v>1573</v>
      </c>
      <c r="C887" s="9" t="s">
        <v>247</v>
      </c>
      <c r="D887" s="9" t="s">
        <v>253</v>
      </c>
      <c r="E887" s="9" t="s">
        <v>261</v>
      </c>
      <c r="F887" s="9" t="s">
        <v>287</v>
      </c>
      <c r="G887" s="10">
        <v>0.4</v>
      </c>
      <c r="H887" s="15">
        <v>52</v>
      </c>
      <c r="I887" s="15">
        <v>46</v>
      </c>
      <c r="J887" s="15">
        <v>32</v>
      </c>
      <c r="K887" s="15">
        <v>179.7</v>
      </c>
    </row>
    <row r="888" spans="1:11" ht="15" customHeight="1" x14ac:dyDescent="0.2">
      <c r="A888" s="9" t="s">
        <v>1527</v>
      </c>
      <c r="B888" s="9" t="s">
        <v>1573</v>
      </c>
      <c r="C888" s="9" t="s">
        <v>247</v>
      </c>
      <c r="D888" s="9" t="s">
        <v>253</v>
      </c>
      <c r="E888" s="9" t="s">
        <v>261</v>
      </c>
      <c r="F888" s="9" t="s">
        <v>287</v>
      </c>
      <c r="G888" s="10">
        <v>0.3</v>
      </c>
      <c r="H888" s="15">
        <v>81</v>
      </c>
      <c r="I888" s="15">
        <v>63</v>
      </c>
      <c r="J888" s="15">
        <v>47</v>
      </c>
      <c r="K888" s="15">
        <v>900.1</v>
      </c>
    </row>
    <row r="889" spans="1:11" ht="15" customHeight="1" x14ac:dyDescent="0.2">
      <c r="A889" s="9" t="s">
        <v>1528</v>
      </c>
      <c r="B889" s="9" t="s">
        <v>1573</v>
      </c>
      <c r="C889" s="9" t="s">
        <v>247</v>
      </c>
      <c r="D889" s="9" t="s">
        <v>253</v>
      </c>
      <c r="E889" s="9" t="s">
        <v>261</v>
      </c>
      <c r="F889" s="9" t="s">
        <v>287</v>
      </c>
      <c r="G889" s="10">
        <v>0.55000000000000004</v>
      </c>
      <c r="H889" s="15">
        <v>89</v>
      </c>
      <c r="I889" s="15">
        <v>64</v>
      </c>
      <c r="J889" s="15">
        <v>42</v>
      </c>
      <c r="K889" s="15">
        <v>628.1</v>
      </c>
    </row>
    <row r="890" spans="1:11" ht="15" customHeight="1" x14ac:dyDescent="0.2">
      <c r="A890" s="9" t="s">
        <v>1529</v>
      </c>
      <c r="B890" s="9" t="s">
        <v>1573</v>
      </c>
      <c r="C890" s="9" t="s">
        <v>693</v>
      </c>
      <c r="D890" s="9" t="s">
        <v>253</v>
      </c>
      <c r="E890" s="9" t="s">
        <v>261</v>
      </c>
      <c r="F890" s="9" t="s">
        <v>287</v>
      </c>
      <c r="G890" s="10">
        <v>0.45</v>
      </c>
      <c r="H890" s="15">
        <v>61</v>
      </c>
      <c r="I890" s="15">
        <v>35</v>
      </c>
      <c r="J890" s="15">
        <v>31</v>
      </c>
      <c r="K890" s="15">
        <v>153.19999999999999</v>
      </c>
    </row>
    <row r="891" spans="1:11" ht="15" customHeight="1" x14ac:dyDescent="0.2">
      <c r="A891" s="9" t="s">
        <v>1530</v>
      </c>
      <c r="B891" s="9" t="s">
        <v>1573</v>
      </c>
      <c r="C891" s="9" t="s">
        <v>693</v>
      </c>
      <c r="D891" s="9" t="s">
        <v>253</v>
      </c>
      <c r="E891" s="9" t="s">
        <v>261</v>
      </c>
      <c r="F891" s="9" t="s">
        <v>287</v>
      </c>
      <c r="G891" s="10">
        <v>0.25</v>
      </c>
      <c r="H891" s="15">
        <v>61</v>
      </c>
      <c r="I891" s="15">
        <v>48</v>
      </c>
      <c r="J891" s="15">
        <v>33</v>
      </c>
      <c r="K891" s="15">
        <v>198.9</v>
      </c>
    </row>
    <row r="892" spans="1:11" ht="15" customHeight="1" x14ac:dyDescent="0.2">
      <c r="A892" s="9" t="s">
        <v>1531</v>
      </c>
      <c r="B892" s="9" t="s">
        <v>1573</v>
      </c>
      <c r="C892" s="9" t="s">
        <v>693</v>
      </c>
      <c r="D892" s="9" t="s">
        <v>253</v>
      </c>
      <c r="E892" s="9" t="s">
        <v>261</v>
      </c>
      <c r="F892" s="9" t="s">
        <v>287</v>
      </c>
      <c r="G892" s="10">
        <v>0.4</v>
      </c>
      <c r="H892" s="15">
        <v>58</v>
      </c>
      <c r="I892" s="15">
        <v>43</v>
      </c>
      <c r="J892" s="15">
        <v>26</v>
      </c>
      <c r="K892" s="15">
        <v>157.4</v>
      </c>
    </row>
    <row r="893" spans="1:11" ht="15" customHeight="1" x14ac:dyDescent="0.2">
      <c r="A893" s="9" t="s">
        <v>1532</v>
      </c>
      <c r="B893" s="9" t="s">
        <v>1573</v>
      </c>
      <c r="C893" s="9" t="s">
        <v>693</v>
      </c>
      <c r="D893" s="9" t="s">
        <v>253</v>
      </c>
      <c r="E893" s="9" t="s">
        <v>261</v>
      </c>
      <c r="F893" s="9" t="s">
        <v>287</v>
      </c>
      <c r="G893" s="10">
        <v>0.45</v>
      </c>
      <c r="H893" s="15">
        <v>69</v>
      </c>
      <c r="I893" s="15">
        <v>66</v>
      </c>
      <c r="J893" s="15">
        <v>34</v>
      </c>
      <c r="K893" s="15">
        <v>468.6</v>
      </c>
    </row>
    <row r="894" spans="1:11" ht="15" customHeight="1" x14ac:dyDescent="0.2">
      <c r="A894" s="9" t="s">
        <v>1533</v>
      </c>
      <c r="B894" s="9" t="s">
        <v>1573</v>
      </c>
      <c r="C894" s="9" t="s">
        <v>693</v>
      </c>
      <c r="D894" s="9" t="s">
        <v>253</v>
      </c>
      <c r="E894" s="9" t="s">
        <v>261</v>
      </c>
      <c r="F894" s="9" t="s">
        <v>287</v>
      </c>
      <c r="G894" s="10">
        <v>0.1</v>
      </c>
      <c r="H894" s="15">
        <v>33</v>
      </c>
      <c r="I894" s="15">
        <v>39</v>
      </c>
      <c r="J894" s="15">
        <v>20</v>
      </c>
      <c r="K894" s="15">
        <v>54</v>
      </c>
    </row>
    <row r="895" spans="1:11" ht="15" customHeight="1" x14ac:dyDescent="0.2">
      <c r="A895" s="9" t="s">
        <v>1534</v>
      </c>
      <c r="B895" s="9" t="s">
        <v>1573</v>
      </c>
      <c r="C895" s="9" t="s">
        <v>693</v>
      </c>
      <c r="D895" s="9" t="s">
        <v>253</v>
      </c>
      <c r="E895" s="9" t="s">
        <v>261</v>
      </c>
      <c r="F895" s="9" t="s">
        <v>287</v>
      </c>
      <c r="G895" s="10">
        <v>0.35</v>
      </c>
      <c r="H895" s="15">
        <v>80</v>
      </c>
      <c r="I895" s="15">
        <v>55</v>
      </c>
      <c r="J895" s="15">
        <v>31</v>
      </c>
      <c r="K895" s="15">
        <v>246.1</v>
      </c>
    </row>
    <row r="896" spans="1:11" ht="15" customHeight="1" x14ac:dyDescent="0.2">
      <c r="A896" s="9" t="s">
        <v>1535</v>
      </c>
      <c r="B896" s="9" t="s">
        <v>1573</v>
      </c>
      <c r="C896" s="9" t="s">
        <v>693</v>
      </c>
      <c r="D896" s="9" t="s">
        <v>253</v>
      </c>
      <c r="E896" s="9" t="s">
        <v>261</v>
      </c>
      <c r="F896" s="9" t="s">
        <v>287</v>
      </c>
      <c r="G896" s="10">
        <v>0.6</v>
      </c>
      <c r="H896" s="15">
        <v>44</v>
      </c>
      <c r="I896" s="15">
        <v>37</v>
      </c>
      <c r="J896" s="15">
        <v>25</v>
      </c>
      <c r="K896" s="15">
        <v>106.8</v>
      </c>
    </row>
    <row r="897" spans="1:11" ht="15" customHeight="1" x14ac:dyDescent="0.2">
      <c r="A897" s="9" t="s">
        <v>1536</v>
      </c>
      <c r="B897" s="9" t="s">
        <v>1573</v>
      </c>
      <c r="C897" s="9" t="s">
        <v>693</v>
      </c>
      <c r="D897" s="9" t="s">
        <v>253</v>
      </c>
      <c r="E897" s="9" t="s">
        <v>261</v>
      </c>
      <c r="F897" s="9" t="s">
        <v>287</v>
      </c>
      <c r="G897" s="10">
        <v>0.6</v>
      </c>
      <c r="H897" s="15">
        <v>87</v>
      </c>
      <c r="I897" s="15">
        <v>58</v>
      </c>
      <c r="J897" s="15">
        <v>21</v>
      </c>
      <c r="K897" s="15">
        <v>222.9</v>
      </c>
    </row>
    <row r="898" spans="1:11" ht="15" customHeight="1" x14ac:dyDescent="0.2">
      <c r="A898" s="9" t="s">
        <v>1537</v>
      </c>
      <c r="B898" s="9" t="s">
        <v>1573</v>
      </c>
      <c r="C898" s="9" t="s">
        <v>693</v>
      </c>
      <c r="D898" s="9" t="s">
        <v>253</v>
      </c>
      <c r="E898" s="9" t="s">
        <v>261</v>
      </c>
      <c r="F898" s="9" t="s">
        <v>287</v>
      </c>
      <c r="G898" s="10">
        <v>0.3</v>
      </c>
      <c r="H898" s="15">
        <v>65</v>
      </c>
      <c r="I898" s="15">
        <v>42</v>
      </c>
      <c r="J898" s="15">
        <v>27</v>
      </c>
      <c r="K898" s="15">
        <v>107.2</v>
      </c>
    </row>
    <row r="899" spans="1:11" ht="15" customHeight="1" x14ac:dyDescent="0.2">
      <c r="A899" s="9" t="s">
        <v>1538</v>
      </c>
      <c r="B899" s="9" t="s">
        <v>1573</v>
      </c>
      <c r="C899" s="9" t="s">
        <v>693</v>
      </c>
      <c r="D899" s="9" t="s">
        <v>253</v>
      </c>
      <c r="E899" s="9" t="s">
        <v>260</v>
      </c>
      <c r="F899" s="9" t="s">
        <v>287</v>
      </c>
      <c r="G899" s="10">
        <v>0.55000000000000004</v>
      </c>
      <c r="H899" s="15">
        <v>67</v>
      </c>
      <c r="I899" s="15">
        <v>51</v>
      </c>
      <c r="J899" s="15">
        <v>33</v>
      </c>
      <c r="K899" s="15">
        <v>282.39999999999998</v>
      </c>
    </row>
    <row r="900" spans="1:11" ht="15" customHeight="1" x14ac:dyDescent="0.2">
      <c r="A900" s="9" t="s">
        <v>1539</v>
      </c>
      <c r="B900" s="9" t="s">
        <v>1573</v>
      </c>
      <c r="C900" s="9" t="s">
        <v>693</v>
      </c>
      <c r="D900" s="9" t="s">
        <v>253</v>
      </c>
      <c r="E900" s="9" t="s">
        <v>261</v>
      </c>
      <c r="F900" s="9" t="s">
        <v>287</v>
      </c>
      <c r="G900" s="10">
        <v>0.4</v>
      </c>
      <c r="H900" s="15">
        <v>76</v>
      </c>
      <c r="I900" s="15">
        <v>36</v>
      </c>
      <c r="J900" s="15">
        <v>36</v>
      </c>
      <c r="K900" s="15">
        <v>192.3</v>
      </c>
    </row>
    <row r="901" spans="1:11" ht="15" customHeight="1" x14ac:dyDescent="0.2">
      <c r="A901" s="9" t="s">
        <v>1540</v>
      </c>
      <c r="B901" s="9" t="s">
        <v>1573</v>
      </c>
      <c r="C901" s="9" t="s">
        <v>693</v>
      </c>
      <c r="D901" s="9" t="s">
        <v>253</v>
      </c>
      <c r="E901" s="9" t="s">
        <v>262</v>
      </c>
      <c r="F901" s="9" t="s">
        <v>287</v>
      </c>
      <c r="G901" s="10">
        <v>0.35</v>
      </c>
      <c r="H901" s="15">
        <v>65</v>
      </c>
      <c r="I901" s="15">
        <v>59</v>
      </c>
      <c r="J901" s="15">
        <v>43</v>
      </c>
      <c r="K901" s="15">
        <v>348.8</v>
      </c>
    </row>
    <row r="902" spans="1:11" ht="15" customHeight="1" x14ac:dyDescent="0.2">
      <c r="A902" s="9" t="s">
        <v>1541</v>
      </c>
      <c r="B902" s="9" t="s">
        <v>1573</v>
      </c>
      <c r="C902" s="9" t="s">
        <v>693</v>
      </c>
      <c r="D902" s="9" t="s">
        <v>253</v>
      </c>
      <c r="E902" s="9" t="s">
        <v>262</v>
      </c>
      <c r="F902" s="9" t="s">
        <v>287</v>
      </c>
      <c r="G902" s="10">
        <v>0.15</v>
      </c>
      <c r="H902" s="15">
        <v>33</v>
      </c>
      <c r="I902" s="15">
        <v>22</v>
      </c>
      <c r="J902" s="15">
        <v>21</v>
      </c>
      <c r="K902" s="15">
        <v>34.799999999999997</v>
      </c>
    </row>
    <row r="903" spans="1:11" ht="15" customHeight="1" x14ac:dyDescent="0.2">
      <c r="A903" s="9" t="s">
        <v>1542</v>
      </c>
      <c r="B903" s="9" t="s">
        <v>1573</v>
      </c>
      <c r="C903" s="9" t="s">
        <v>693</v>
      </c>
      <c r="D903" s="9" t="s">
        <v>253</v>
      </c>
      <c r="E903" s="9" t="s">
        <v>262</v>
      </c>
      <c r="F903" s="9" t="s">
        <v>287</v>
      </c>
      <c r="G903" s="10">
        <v>0.2</v>
      </c>
      <c r="H903" s="15">
        <v>39</v>
      </c>
      <c r="I903" s="15">
        <v>30</v>
      </c>
      <c r="J903" s="15">
        <v>22</v>
      </c>
      <c r="K903" s="15">
        <v>57.3</v>
      </c>
    </row>
    <row r="904" spans="1:11" ht="15" customHeight="1" x14ac:dyDescent="0.2">
      <c r="A904" s="9" t="s">
        <v>1543</v>
      </c>
      <c r="B904" s="9" t="s">
        <v>1573</v>
      </c>
      <c r="C904" s="9" t="s">
        <v>693</v>
      </c>
      <c r="D904" s="9" t="s">
        <v>253</v>
      </c>
      <c r="E904" s="9" t="s">
        <v>260</v>
      </c>
      <c r="F904" s="9" t="s">
        <v>287</v>
      </c>
      <c r="G904" s="10">
        <v>0.4</v>
      </c>
      <c r="H904" s="15">
        <v>40</v>
      </c>
      <c r="I904" s="15">
        <v>35</v>
      </c>
      <c r="J904" s="15">
        <v>19</v>
      </c>
      <c r="K904" s="15">
        <v>65</v>
      </c>
    </row>
    <row r="905" spans="1:11" ht="15" customHeight="1" x14ac:dyDescent="0.2">
      <c r="A905" s="9" t="s">
        <v>1544</v>
      </c>
      <c r="B905" s="9" t="s">
        <v>1573</v>
      </c>
      <c r="C905" s="9" t="s">
        <v>693</v>
      </c>
      <c r="D905" s="9" t="s">
        <v>253</v>
      </c>
      <c r="E905" s="9" t="s">
        <v>262</v>
      </c>
      <c r="F905" s="9" t="s">
        <v>287</v>
      </c>
      <c r="G905" s="10">
        <v>0.6</v>
      </c>
      <c r="H905" s="15">
        <v>66</v>
      </c>
      <c r="I905" s="15">
        <v>62</v>
      </c>
      <c r="J905" s="15">
        <v>39</v>
      </c>
      <c r="K905" s="15">
        <v>317.2</v>
      </c>
    </row>
    <row r="906" spans="1:11" ht="15" customHeight="1" x14ac:dyDescent="0.2">
      <c r="A906" s="9" t="s">
        <v>1545</v>
      </c>
      <c r="B906" s="9" t="s">
        <v>1573</v>
      </c>
      <c r="C906" s="9" t="s">
        <v>693</v>
      </c>
      <c r="D906" s="9" t="s">
        <v>253</v>
      </c>
      <c r="E906" s="9" t="s">
        <v>261</v>
      </c>
      <c r="F906" s="9" t="s">
        <v>287</v>
      </c>
      <c r="G906" s="10">
        <v>0.6</v>
      </c>
      <c r="H906" s="15">
        <v>81</v>
      </c>
      <c r="I906" s="15">
        <v>66</v>
      </c>
      <c r="J906" s="15">
        <v>38</v>
      </c>
      <c r="K906" s="15">
        <v>479</v>
      </c>
    </row>
    <row r="907" spans="1:11" ht="15" customHeight="1" x14ac:dyDescent="0.2">
      <c r="A907" s="9" t="s">
        <v>1546</v>
      </c>
      <c r="B907" s="9" t="s">
        <v>1573</v>
      </c>
      <c r="C907" s="9" t="s">
        <v>693</v>
      </c>
      <c r="D907" s="9" t="s">
        <v>751</v>
      </c>
      <c r="E907" s="9" t="s">
        <v>261</v>
      </c>
      <c r="F907" s="9" t="s">
        <v>287</v>
      </c>
      <c r="G907" s="10">
        <v>0.4</v>
      </c>
      <c r="H907" s="15">
        <v>53</v>
      </c>
      <c r="I907" s="15">
        <v>49</v>
      </c>
      <c r="J907" s="15">
        <v>39</v>
      </c>
      <c r="K907" s="15">
        <v>207.8</v>
      </c>
    </row>
    <row r="908" spans="1:11" ht="15" customHeight="1" x14ac:dyDescent="0.2">
      <c r="A908" s="9" t="s">
        <v>1547</v>
      </c>
      <c r="B908" s="9" t="s">
        <v>1573</v>
      </c>
      <c r="C908" s="9" t="s">
        <v>248</v>
      </c>
      <c r="D908" s="9" t="s">
        <v>751</v>
      </c>
      <c r="E908" s="9" t="s">
        <v>261</v>
      </c>
      <c r="F908" s="9" t="s">
        <v>287</v>
      </c>
      <c r="G908" s="10">
        <v>0.45</v>
      </c>
      <c r="H908" s="15">
        <v>43</v>
      </c>
      <c r="I908" s="15">
        <v>44</v>
      </c>
      <c r="J908" s="15">
        <v>37</v>
      </c>
      <c r="K908" s="15">
        <v>171.9</v>
      </c>
    </row>
    <row r="909" spans="1:11" ht="15" customHeight="1" x14ac:dyDescent="0.2">
      <c r="A909" s="9" t="s">
        <v>1548</v>
      </c>
      <c r="B909" s="9" t="s">
        <v>1573</v>
      </c>
      <c r="C909" s="9" t="s">
        <v>248</v>
      </c>
      <c r="D909" s="9" t="s">
        <v>751</v>
      </c>
      <c r="E909" s="9" t="s">
        <v>262</v>
      </c>
      <c r="F909" s="9" t="s">
        <v>287</v>
      </c>
      <c r="G909" s="10">
        <v>0.5</v>
      </c>
      <c r="H909" s="15">
        <v>44</v>
      </c>
      <c r="I909" s="15">
        <v>31</v>
      </c>
      <c r="J909" s="15">
        <v>35</v>
      </c>
      <c r="K909" s="15">
        <v>114.7</v>
      </c>
    </row>
    <row r="910" spans="1:11" ht="15" customHeight="1" x14ac:dyDescent="0.2">
      <c r="A910" s="9" t="s">
        <v>1549</v>
      </c>
      <c r="B910" s="9" t="s">
        <v>1573</v>
      </c>
      <c r="C910" s="9" t="s">
        <v>248</v>
      </c>
      <c r="D910" s="9" t="s">
        <v>751</v>
      </c>
      <c r="E910" s="9" t="s">
        <v>262</v>
      </c>
      <c r="F910" s="9" t="s">
        <v>287</v>
      </c>
      <c r="G910" s="10">
        <v>0.6</v>
      </c>
      <c r="H910" s="15">
        <v>55</v>
      </c>
      <c r="I910" s="15">
        <v>47</v>
      </c>
      <c r="J910" s="15">
        <v>31</v>
      </c>
      <c r="K910" s="15">
        <v>145.6</v>
      </c>
    </row>
    <row r="911" spans="1:11" ht="15" customHeight="1" x14ac:dyDescent="0.2">
      <c r="A911" s="9" t="s">
        <v>1550</v>
      </c>
      <c r="B911" s="9" t="s">
        <v>1573</v>
      </c>
      <c r="C911" s="9" t="s">
        <v>248</v>
      </c>
      <c r="D911" s="9" t="s">
        <v>259</v>
      </c>
      <c r="E911" s="9" t="s">
        <v>261</v>
      </c>
      <c r="F911" s="9" t="s">
        <v>287</v>
      </c>
      <c r="G911" s="10">
        <v>0.4</v>
      </c>
      <c r="H911" s="15">
        <v>58</v>
      </c>
      <c r="I911" s="15">
        <v>40</v>
      </c>
      <c r="J911" s="15">
        <v>28</v>
      </c>
      <c r="K911" s="15">
        <v>169.8</v>
      </c>
    </row>
    <row r="912" spans="1:11" ht="15" customHeight="1" x14ac:dyDescent="0.2">
      <c r="A912" s="9" t="s">
        <v>1551</v>
      </c>
      <c r="B912" s="9" t="s">
        <v>1573</v>
      </c>
      <c r="C912" s="9" t="s">
        <v>248</v>
      </c>
      <c r="D912" s="9" t="s">
        <v>259</v>
      </c>
      <c r="E912" s="9" t="s">
        <v>261</v>
      </c>
      <c r="F912" s="9" t="s">
        <v>287</v>
      </c>
      <c r="G912" s="10">
        <v>0.55000000000000004</v>
      </c>
      <c r="H912" s="15">
        <v>77</v>
      </c>
      <c r="I912" s="15">
        <v>66</v>
      </c>
      <c r="J912" s="15">
        <v>32</v>
      </c>
      <c r="K912" s="15">
        <v>317.5</v>
      </c>
    </row>
    <row r="913" spans="1:11" ht="15" customHeight="1" x14ac:dyDescent="0.2">
      <c r="A913" s="9" t="s">
        <v>1552</v>
      </c>
      <c r="B913" s="9" t="s">
        <v>1573</v>
      </c>
      <c r="C913" s="9" t="s">
        <v>248</v>
      </c>
      <c r="D913" s="9" t="s">
        <v>259</v>
      </c>
      <c r="E913" s="9" t="s">
        <v>262</v>
      </c>
      <c r="F913" s="9" t="s">
        <v>287</v>
      </c>
      <c r="G913" s="10">
        <v>0.6</v>
      </c>
      <c r="H913" s="15">
        <v>60</v>
      </c>
      <c r="I913" s="15">
        <v>57</v>
      </c>
      <c r="J913" s="15">
        <v>34</v>
      </c>
      <c r="K913" s="15">
        <v>289.10000000000002</v>
      </c>
    </row>
    <row r="914" spans="1:11" ht="15" customHeight="1" x14ac:dyDescent="0.2">
      <c r="A914" s="9" t="s">
        <v>1272</v>
      </c>
      <c r="B914" s="9" t="s">
        <v>1573</v>
      </c>
      <c r="C914" s="9" t="s">
        <v>248</v>
      </c>
      <c r="D914" s="9" t="s">
        <v>259</v>
      </c>
      <c r="E914" s="9" t="s">
        <v>263</v>
      </c>
      <c r="F914" s="9" t="s">
        <v>287</v>
      </c>
      <c r="G914" s="10">
        <v>0.7</v>
      </c>
      <c r="H914" s="15">
        <v>55</v>
      </c>
      <c r="I914" s="15">
        <v>30</v>
      </c>
      <c r="J914" s="15">
        <v>17</v>
      </c>
      <c r="K914" s="15">
        <v>64.400000000000006</v>
      </c>
    </row>
    <row r="915" spans="1:11" ht="15" customHeight="1" x14ac:dyDescent="0.2">
      <c r="A915" s="9" t="s">
        <v>1553</v>
      </c>
      <c r="B915" s="9" t="s">
        <v>1573</v>
      </c>
      <c r="C915" s="9" t="s">
        <v>248</v>
      </c>
      <c r="D915" s="9" t="s">
        <v>259</v>
      </c>
      <c r="E915" s="9" t="s">
        <v>261</v>
      </c>
      <c r="F915" s="9" t="s">
        <v>287</v>
      </c>
      <c r="G915" s="10">
        <v>0.45</v>
      </c>
      <c r="H915" s="15">
        <v>80</v>
      </c>
      <c r="I915" s="15">
        <v>55</v>
      </c>
      <c r="J915" s="15">
        <v>47</v>
      </c>
      <c r="K915" s="15">
        <v>619</v>
      </c>
    </row>
    <row r="916" spans="1:11" ht="15" customHeight="1" x14ac:dyDescent="0.2">
      <c r="A916" s="9" t="s">
        <v>1554</v>
      </c>
      <c r="B916" s="9" t="s">
        <v>1573</v>
      </c>
      <c r="C916" s="9" t="s">
        <v>248</v>
      </c>
      <c r="D916" s="9" t="s">
        <v>259</v>
      </c>
      <c r="E916" s="9" t="s">
        <v>261</v>
      </c>
      <c r="F916" s="9" t="s">
        <v>287</v>
      </c>
      <c r="G916" s="10">
        <v>0.4</v>
      </c>
      <c r="H916" s="15">
        <v>77</v>
      </c>
      <c r="I916" s="15">
        <v>38</v>
      </c>
      <c r="J916" s="15">
        <v>19</v>
      </c>
      <c r="K916" s="15">
        <v>114.8</v>
      </c>
    </row>
    <row r="917" spans="1:11" ht="15" customHeight="1" x14ac:dyDescent="0.2">
      <c r="A917" s="9" t="s">
        <v>1555</v>
      </c>
      <c r="B917" s="9" t="s">
        <v>1573</v>
      </c>
      <c r="C917" s="9" t="s">
        <v>248</v>
      </c>
      <c r="D917" s="9" t="s">
        <v>1147</v>
      </c>
      <c r="E917" s="9" t="s">
        <v>263</v>
      </c>
      <c r="F917" s="9" t="s">
        <v>287</v>
      </c>
      <c r="G917" s="10">
        <v>0.55000000000000004</v>
      </c>
      <c r="H917" s="15">
        <v>61</v>
      </c>
      <c r="I917" s="15">
        <v>47</v>
      </c>
      <c r="J917" s="15">
        <v>32</v>
      </c>
      <c r="K917" s="15">
        <v>185.2</v>
      </c>
    </row>
    <row r="918" spans="1:11" ht="15" customHeight="1" x14ac:dyDescent="0.2">
      <c r="A918" s="9" t="s">
        <v>1556</v>
      </c>
      <c r="B918" s="9" t="s">
        <v>1573</v>
      </c>
      <c r="C918" s="9" t="s">
        <v>248</v>
      </c>
      <c r="D918" s="9" t="s">
        <v>1147</v>
      </c>
      <c r="E918" s="9" t="s">
        <v>262</v>
      </c>
      <c r="F918" s="9" t="s">
        <v>287</v>
      </c>
      <c r="G918" s="10">
        <v>0.6</v>
      </c>
      <c r="H918" s="15">
        <v>72</v>
      </c>
      <c r="I918" s="15">
        <v>43</v>
      </c>
      <c r="J918" s="15">
        <v>32</v>
      </c>
      <c r="K918" s="15">
        <v>212.3</v>
      </c>
    </row>
    <row r="919" spans="1:11" ht="15" customHeight="1" x14ac:dyDescent="0.2">
      <c r="A919" s="9" t="s">
        <v>1557</v>
      </c>
      <c r="B919" s="9" t="s">
        <v>1573</v>
      </c>
      <c r="C919" s="9" t="s">
        <v>248</v>
      </c>
      <c r="D919" s="9" t="s">
        <v>1147</v>
      </c>
      <c r="E919" s="9" t="s">
        <v>262</v>
      </c>
      <c r="F919" s="9" t="s">
        <v>287</v>
      </c>
      <c r="G919" s="10">
        <v>0.15</v>
      </c>
      <c r="H919" s="15">
        <v>66</v>
      </c>
      <c r="I919" s="15">
        <v>71</v>
      </c>
      <c r="J919" s="15">
        <v>37</v>
      </c>
      <c r="K919" s="15">
        <v>353</v>
      </c>
    </row>
    <row r="920" spans="1:11" ht="15" customHeight="1" x14ac:dyDescent="0.2">
      <c r="A920" s="9" t="s">
        <v>1558</v>
      </c>
      <c r="B920" s="9" t="s">
        <v>1573</v>
      </c>
      <c r="C920" s="9" t="s">
        <v>248</v>
      </c>
      <c r="D920" s="9" t="s">
        <v>1147</v>
      </c>
      <c r="E920" s="9" t="s">
        <v>262</v>
      </c>
      <c r="F920" s="9" t="s">
        <v>287</v>
      </c>
      <c r="G920" s="10">
        <v>0</v>
      </c>
      <c r="H920" s="15">
        <v>49</v>
      </c>
      <c r="I920" s="15">
        <v>59</v>
      </c>
      <c r="J920" s="15">
        <v>24</v>
      </c>
      <c r="K920" s="15">
        <v>172.3</v>
      </c>
    </row>
    <row r="921" spans="1:11" ht="15" customHeight="1" x14ac:dyDescent="0.2">
      <c r="A921" s="9" t="s">
        <v>1559</v>
      </c>
      <c r="B921" s="9" t="s">
        <v>1573</v>
      </c>
      <c r="C921" s="9" t="s">
        <v>248</v>
      </c>
      <c r="D921" s="9" t="s">
        <v>1147</v>
      </c>
      <c r="E921" s="9" t="s">
        <v>261</v>
      </c>
      <c r="F921" s="9" t="s">
        <v>287</v>
      </c>
      <c r="G921" s="10">
        <v>0.6</v>
      </c>
      <c r="H921" s="15">
        <v>74</v>
      </c>
      <c r="I921" s="15">
        <v>38</v>
      </c>
      <c r="J921" s="15">
        <v>14</v>
      </c>
      <c r="K921" s="15">
        <v>63.3</v>
      </c>
    </row>
    <row r="922" spans="1:11" ht="15" customHeight="1" x14ac:dyDescent="0.2">
      <c r="A922" s="9" t="s">
        <v>1560</v>
      </c>
      <c r="B922" s="9" t="s">
        <v>1573</v>
      </c>
      <c r="C922" s="9" t="s">
        <v>248</v>
      </c>
      <c r="D922" s="9" t="s">
        <v>1147</v>
      </c>
      <c r="E922" s="9" t="s">
        <v>261</v>
      </c>
      <c r="F922" s="9" t="s">
        <v>287</v>
      </c>
      <c r="G922" s="10">
        <v>0.4</v>
      </c>
      <c r="H922" s="15">
        <v>54</v>
      </c>
      <c r="I922" s="15">
        <v>41</v>
      </c>
      <c r="J922" s="15">
        <v>23</v>
      </c>
      <c r="K922" s="15">
        <v>90.6</v>
      </c>
    </row>
    <row r="923" spans="1:11" ht="15" customHeight="1" x14ac:dyDescent="0.2">
      <c r="A923" s="9" t="s">
        <v>1561</v>
      </c>
      <c r="B923" s="9" t="s">
        <v>1573</v>
      </c>
      <c r="C923" s="9" t="s">
        <v>248</v>
      </c>
      <c r="D923" s="9" t="s">
        <v>1147</v>
      </c>
      <c r="E923" s="9" t="s">
        <v>260</v>
      </c>
      <c r="F923" s="9" t="s">
        <v>287</v>
      </c>
      <c r="G923" s="10">
        <v>0.6</v>
      </c>
      <c r="H923" s="15">
        <v>51</v>
      </c>
      <c r="I923" s="15">
        <v>39</v>
      </c>
      <c r="J923" s="15">
        <v>26</v>
      </c>
      <c r="K923" s="15">
        <v>91.7</v>
      </c>
    </row>
    <row r="924" spans="1:11" ht="15" customHeight="1" x14ac:dyDescent="0.2">
      <c r="A924" s="9" t="s">
        <v>1562</v>
      </c>
      <c r="B924" s="9" t="s">
        <v>1573</v>
      </c>
      <c r="C924" s="9" t="s">
        <v>248</v>
      </c>
      <c r="D924" s="9" t="s">
        <v>1147</v>
      </c>
      <c r="E924" s="9" t="s">
        <v>261</v>
      </c>
      <c r="F924" s="9" t="s">
        <v>287</v>
      </c>
      <c r="G924" s="10">
        <v>0.8</v>
      </c>
      <c r="H924" s="15">
        <v>58</v>
      </c>
      <c r="I924" s="15">
        <v>42</v>
      </c>
      <c r="J924" s="15">
        <v>36</v>
      </c>
      <c r="K924" s="15">
        <v>223.7</v>
      </c>
    </row>
    <row r="925" spans="1:11" ht="15" customHeight="1" x14ac:dyDescent="0.2">
      <c r="A925" s="9" t="s">
        <v>1563</v>
      </c>
      <c r="B925" s="9" t="s">
        <v>1573</v>
      </c>
      <c r="C925" s="9" t="s">
        <v>248</v>
      </c>
      <c r="D925" s="9" t="s">
        <v>1147</v>
      </c>
      <c r="E925" s="9" t="s">
        <v>261</v>
      </c>
      <c r="F925" s="9" t="s">
        <v>287</v>
      </c>
      <c r="G925" s="10">
        <v>0.3</v>
      </c>
      <c r="H925" s="15">
        <v>64</v>
      </c>
      <c r="I925" s="15">
        <v>50</v>
      </c>
      <c r="J925" s="15">
        <v>39</v>
      </c>
      <c r="K925" s="15">
        <v>365.1</v>
      </c>
    </row>
  </sheetData>
  <autoFilter ref="A1:K925" xr:uid="{CE7AED10-19BC-4AFB-B30A-CFFCE7DC7FCD}">
    <sortState xmlns:xlrd2="http://schemas.microsoft.com/office/spreadsheetml/2017/richdata2" ref="A2:K925">
      <sortCondition ref="F2:F925" customList="Core_fragment,Chunk"/>
    </sortState>
  </autoFilter>
  <sortState xmlns:xlrd2="http://schemas.microsoft.com/office/spreadsheetml/2017/richdata2" ref="A2:K490">
    <sortCondition ref="B1:B490"/>
  </sortState>
  <phoneticPr fontId="2" type="noConversion"/>
  <conditionalFormatting sqref="A1:A1048576">
    <cfRule type="duplicateValues" dxfId="0" priority="1"/>
  </conditionalFormatting>
  <dataValidations count="1">
    <dataValidation allowBlank="1" showInputMessage="1" sqref="E1:K1" xr:uid="{A37FF2AE-33F6-4196-8C9D-526C9499B883}"/>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792E4-5CBB-4A0A-90EC-1190B3066A67}">
  <dimension ref="A1"/>
  <sheetViews>
    <sheetView workbookViewId="0">
      <selection activeCell="A22" sqref="A22"/>
    </sheetView>
  </sheetViews>
  <sheetFormatPr defaultRowHeight="14.25" x14ac:dyDescent="0.2"/>
  <cols>
    <col min="1" max="1" width="49.125" customWidth="1"/>
  </cols>
  <sheetData>
    <row r="1" spans="1:1" ht="102.75" customHeight="1" x14ac:dyDescent="0.2">
      <c r="A1" s="23" t="s">
        <v>1574</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Core</vt:lpstr>
      <vt:lpstr>Flake</vt:lpstr>
      <vt:lpstr>Tool</vt:lpstr>
      <vt:lpstr>Core fragment &amp; Chunk</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Peiyuan XIAO</dc:creator>
  <cp:lastModifiedBy>Peiyuan XIAO</cp:lastModifiedBy>
  <dcterms:created xsi:type="dcterms:W3CDTF">2025-05-29T06:12:21Z</dcterms:created>
  <dcterms:modified xsi:type="dcterms:W3CDTF">2026-05-19T04:20:31Z</dcterms:modified>
</cp:coreProperties>
</file>